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CGardiner\Documents\Apprenticeship\Level4\Mathematic_Statistics_And_Collaborative_Research\"/>
    </mc:Choice>
  </mc:AlternateContent>
  <xr:revisionPtr revIDLastSave="0" documentId="13_ncr:1_{741017AF-060B-45D8-9504-761D7F4508A4}" xr6:coauthVersionLast="47" xr6:coauthVersionMax="47" xr10:uidLastSave="{00000000-0000-0000-0000-000000000000}"/>
  <bookViews>
    <workbookView xWindow="28680" yWindow="-120" windowWidth="29040" windowHeight="15720" activeTab="4" xr2:uid="{00000000-000D-0000-FFFF-FFFF00000000}"/>
  </bookViews>
  <sheets>
    <sheet name="Raw Data" sheetId="1" r:id="rId1"/>
    <sheet name="Primary Research Data" sheetId="4" r:id="rId2"/>
    <sheet name="Task 1" sheetId="3" r:id="rId3"/>
    <sheet name="Task 2" sheetId="5" r:id="rId4"/>
    <sheet name="Task 3" sheetId="6" r:id="rId5"/>
    <sheet name="Task 4" sheetId="7" r:id="rId6"/>
  </sheets>
  <definedNames>
    <definedName name="_xlnm._FilterDatabase" localSheetId="0" hidden="1">'Raw Data'!$A$1:$V$185</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I23" i="7"/>
  <c r="F11" i="7"/>
  <c r="C32" i="7"/>
  <c r="B32" i="7"/>
  <c r="C28" i="7"/>
  <c r="B28" i="7"/>
  <c r="I12" i="7"/>
  <c r="I13" i="7"/>
  <c r="I14" i="7"/>
  <c r="I15" i="7"/>
  <c r="I16" i="7"/>
  <c r="I17" i="7"/>
  <c r="I18" i="7"/>
  <c r="I19" i="7"/>
  <c r="I20" i="7"/>
  <c r="I11" i="7"/>
  <c r="H23" i="7"/>
  <c r="H11" i="7"/>
  <c r="G12" i="7"/>
  <c r="G13" i="7"/>
  <c r="G14" i="7"/>
  <c r="G15" i="7"/>
  <c r="G16" i="7"/>
  <c r="G17" i="7"/>
  <c r="G18" i="7"/>
  <c r="G19" i="7"/>
  <c r="G20" i="7"/>
  <c r="G11" i="7"/>
  <c r="E20" i="7"/>
  <c r="E19" i="7"/>
  <c r="E18" i="7"/>
  <c r="E17" i="7"/>
  <c r="E16" i="7"/>
  <c r="E15" i="7"/>
  <c r="E14" i="7"/>
  <c r="E13" i="7"/>
  <c r="E12" i="7"/>
  <c r="E11" i="7"/>
  <c r="C4" i="7"/>
  <c r="C6" i="7" s="1"/>
  <c r="C7" i="7" s="1"/>
  <c r="C8" i="7" s="1"/>
  <c r="D12" i="7"/>
  <c r="D13" i="7"/>
  <c r="D14" i="7"/>
  <c r="D15" i="7"/>
  <c r="D16" i="7"/>
  <c r="D17" i="7"/>
  <c r="D18" i="7"/>
  <c r="D19" i="7"/>
  <c r="D20" i="7"/>
  <c r="D11" i="7"/>
  <c r="C5" i="7"/>
  <c r="C5" i="6"/>
  <c r="C4" i="6"/>
  <c r="C17" i="5"/>
  <c r="C16" i="5"/>
  <c r="C15" i="5"/>
  <c r="C14" i="5"/>
  <c r="G12" i="5"/>
  <c r="F12" i="5"/>
  <c r="E12" i="5"/>
  <c r="D12" i="5"/>
  <c r="C12" i="5"/>
  <c r="G11" i="5"/>
  <c r="F11" i="5"/>
  <c r="E11" i="5"/>
  <c r="D11" i="5"/>
  <c r="C11" i="5"/>
  <c r="G10" i="5"/>
  <c r="F10" i="5"/>
  <c r="E10" i="5"/>
  <c r="D10" i="5"/>
  <c r="C10" i="5"/>
  <c r="G9" i="5"/>
  <c r="F9" i="5"/>
  <c r="E9" i="5"/>
  <c r="D9" i="5"/>
  <c r="C9" i="5"/>
  <c r="G8" i="5"/>
  <c r="F8" i="5"/>
  <c r="E8" i="5"/>
  <c r="D8" i="5"/>
  <c r="C8" i="5"/>
  <c r="G7" i="5"/>
  <c r="F7" i="5"/>
  <c r="D7" i="5"/>
  <c r="C7" i="5"/>
  <c r="G6" i="5"/>
  <c r="E6" i="5"/>
  <c r="E7" i="5"/>
  <c r="D6" i="5"/>
  <c r="G5" i="5"/>
  <c r="F6" i="5"/>
  <c r="F5" i="5"/>
  <c r="E5" i="5"/>
  <c r="D5" i="5"/>
  <c r="C5" i="5"/>
  <c r="G4" i="5"/>
  <c r="F4" i="5"/>
  <c r="E4" i="5"/>
  <c r="D4" i="5"/>
  <c r="C4" i="5"/>
  <c r="C6" i="5"/>
  <c r="D59" i="3"/>
  <c r="D58" i="3"/>
  <c r="D36" i="3"/>
  <c r="D35" i="3"/>
  <c r="D34" i="3"/>
  <c r="D28" i="3"/>
  <c r="D27" i="3"/>
  <c r="D29" i="3"/>
  <c r="D26" i="3"/>
  <c r="D5" i="3"/>
  <c r="D4" i="3"/>
  <c r="D3" i="3"/>
  <c r="J11" i="7" l="1"/>
  <c r="D60" i="3"/>
</calcChain>
</file>

<file path=xl/sharedStrings.xml><?xml version="1.0" encoding="utf-8"?>
<sst xmlns="http://schemas.openxmlformats.org/spreadsheetml/2006/main" count="1150" uniqueCount="304">
  <si>
    <t>Age</t>
  </si>
  <si>
    <t>Number of Months with the Company</t>
  </si>
  <si>
    <t>Gender</t>
  </si>
  <si>
    <t>Annual Salary (as declared)</t>
  </si>
  <si>
    <t>Laptop Manufacturer of Choice</t>
  </si>
  <si>
    <t>Laptop Operating System of Choice</t>
  </si>
  <si>
    <t>Phone of Choice</t>
  </si>
  <si>
    <t>Male</t>
  </si>
  <si>
    <t>MacBook</t>
  </si>
  <si>
    <t>MacOS</t>
  </si>
  <si>
    <t>Apple</t>
  </si>
  <si>
    <t>HP</t>
  </si>
  <si>
    <t>Windows</t>
  </si>
  <si>
    <t>Female</t>
  </si>
  <si>
    <t>Lenovo</t>
  </si>
  <si>
    <t>Android</t>
  </si>
  <si>
    <t>Asus</t>
  </si>
  <si>
    <t>Linux</t>
  </si>
  <si>
    <t>No Preference</t>
  </si>
  <si>
    <t>Dell</t>
  </si>
  <si>
    <t>Chromebook</t>
  </si>
  <si>
    <t>Chrome OS</t>
  </si>
  <si>
    <t>Non-binary</t>
  </si>
  <si>
    <t>Samsung</t>
  </si>
  <si>
    <t>ASUS</t>
  </si>
  <si>
    <t>Acer</t>
  </si>
  <si>
    <t>Peugeot 2008</t>
  </si>
  <si>
    <t>Mel</t>
  </si>
  <si>
    <t>ID</t>
  </si>
  <si>
    <t>When choosing a computer which of these features is the most important to you?</t>
  </si>
  <si>
    <t>On a phone what features are most important to you?</t>
  </si>
  <si>
    <t>Which of these operating systems would you rather use?</t>
  </si>
  <si>
    <t>Which mobile operating system do you prefer?</t>
  </si>
  <si>
    <t>Which of the following ports do you use (please select all that apply)</t>
  </si>
  <si>
    <t>Please describe the features/functionality of your phone you most appreciate</t>
  </si>
  <si>
    <t>Please describe the features/functionality of your Laptop/Desktop you most appreciate</t>
  </si>
  <si>
    <t>Please list any peripheral devices you use in your day-to-day activities</t>
  </si>
  <si>
    <t>Price;Performance;Style;Build quality;Pre-installed software;The form factor (size, shape, weight);Ease of future upgrade;Portability ;</t>
  </si>
  <si>
    <t>Battery Life;Camera quality (Photo);The phone's performance (specs);Camera quality {Video};Support for wireless charging;</t>
  </si>
  <si>
    <t>Windows;Linux;Chrome OS;Mac OS;</t>
  </si>
  <si>
    <t>HDMI;USB-C;Headphone jack;Display Port;</t>
  </si>
  <si>
    <t>I appreciate the security features my phone has and how it is quite stable</t>
  </si>
  <si>
    <t>The performance as i do a lot of programming being able to do multiple things at once is quite important for me</t>
  </si>
  <si>
    <t>Keyboard, mouse, printer, webcam and computer monitor</t>
  </si>
  <si>
    <t>Build quality;Pre-installed software;The form factor (size, shape, weight);Portability ;Price;Performance;Style;Ease of future upgrade;</t>
  </si>
  <si>
    <t>Battery Life;The phone's performance (specs);Camera quality (Photo);Camera quality {Video};Support for wireless charging;</t>
  </si>
  <si>
    <t>Linux;Windows;Chrome OS;Mac OS;</t>
  </si>
  <si>
    <t>USB-C;USB-A;HDMI;Headphone jack;Display Port;</t>
  </si>
  <si>
    <t>Camera quality</t>
  </si>
  <si>
    <t xml:space="preserve">How long I’ve had it, so it’s long life capabilities </t>
  </si>
  <si>
    <t xml:space="preserve">I use a wide range of different devices such as Keyboard, mouse, microphone and typically a 2nd monitor </t>
  </si>
  <si>
    <t>Performance;Ease of future upgrade;Price;Style;Build quality;Pre-installed software;The form factor (size, shape, weight);Portability ;</t>
  </si>
  <si>
    <t>The phone's performance (specs);Battery Life;Camera quality (Photo);Camera quality {Video};Support for wireless charging;</t>
  </si>
  <si>
    <t>Windows;Mac OS;Linux;Chrome OS;</t>
  </si>
  <si>
    <t>USB-C;USB-A;HDMI;</t>
  </si>
  <si>
    <t>Camera, battery life</t>
  </si>
  <si>
    <t>Performance</t>
  </si>
  <si>
    <t>Mouse, speakers</t>
  </si>
  <si>
    <t>Performance;Build quality;Portability ;The form factor (size, shape, weight);Ease of future upgrade;Pre-installed software;Price;Style;</t>
  </si>
  <si>
    <t>Battery Life;The phone's performance (specs);Support for wireless charging;Camera quality (Photo);Camera quality {Video};</t>
  </si>
  <si>
    <t>I hate the entire thing. My work phone is a very old I-phone that is out of date, difficult to use and took an age to set up. There is genuinely nothing I like about it.</t>
  </si>
  <si>
    <t>Good battery life, reasonable performance, easily connects to things.</t>
  </si>
  <si>
    <t>Jabra speaker, multiple monitors (32inch), Thinkpad hub, wireless keyboard and mouse, webcam</t>
  </si>
  <si>
    <t>Price;Performance;Build quality;The form factor (size, shape, weight);Portability ;Style;Ease of future upgrade;Pre-installed software;</t>
  </si>
  <si>
    <t>Windows;Mac OS;Chrome OS;Linux;</t>
  </si>
  <si>
    <t>USB-C;USB-A;HDMI;VGA;Display Port;</t>
  </si>
  <si>
    <t>Decent battery life, great camera, very fluid, quick and intuitive to use with its OS gestures and features. All for a very reasonable price</t>
  </si>
  <si>
    <t>Reasonably speedy, quite robust, 360 movement with touch</t>
  </si>
  <si>
    <t>Headphones, optical mouse, keyboard</t>
  </si>
  <si>
    <t>Price;Performance;Ease of future upgrade;Build quality;The form factor (size, shape, weight);Portability ;Style;Pre-installed software;</t>
  </si>
  <si>
    <t>Linux;Windows;Mac OS;Chrome OS;</t>
  </si>
  <si>
    <t>USB-C;USB-A;HDMI;VGA;Headphone jack;Display Port;</t>
  </si>
  <si>
    <t>It takes photos of network ports adequately, and a good for MFA text messages!</t>
  </si>
  <si>
    <t>Needs to run multiple heavy duty apps simultaneously, be small and quiet, and reliable.</t>
  </si>
  <si>
    <t>Mouse, Keyboard, Camera, Video Capture, KVM, Oscilloscope, Signal Generator, Multimeter, Headphones, Speakers.</t>
  </si>
  <si>
    <t>Camera, Ram and storage.</t>
  </si>
  <si>
    <t>Cpu, Ram and graphics card</t>
  </si>
  <si>
    <t>laptops, ipads and phones</t>
  </si>
  <si>
    <t>Performance;Build quality;Price;The form factor (size, shape, weight);Pre-installed software;Ease of future upgrade;Style;Portability ;</t>
  </si>
  <si>
    <t>HDMI;Headphone jack;Display Port;USB-A;</t>
  </si>
  <si>
    <t xml:space="preserve">Long battery life. Navigation bar making applications easy to navigate between. Messaging services. </t>
  </si>
  <si>
    <t xml:space="preserve">Keyboard. Notification center and management. </t>
  </si>
  <si>
    <t>Speakers. Headphones. USB mouse.</t>
  </si>
  <si>
    <t>Price;The form factor (size, shape, weight);Performance;Build quality;Ease of future upgrade;Style;Portability ;Pre-installed software;</t>
  </si>
  <si>
    <t>Battery Life;Support for wireless charging;The phone's performance (specs);Camera quality (Photo);Camera quality {Video};</t>
  </si>
  <si>
    <t>USB-C;USB-A;HDMI;Display Port;Headphone jack;</t>
  </si>
  <si>
    <t>Camera, NFC.</t>
  </si>
  <si>
    <t>32 GB of RAM, responsive.</t>
  </si>
  <si>
    <t>Wireless mouse and keyboard, Security Key, Headset, Monitor/Display.</t>
  </si>
  <si>
    <t>Price;Performance;Ease of future upgrade;Build quality;Portability ;Style;The form factor (size, shape, weight);Pre-installed software;</t>
  </si>
  <si>
    <t>Windows;Chrome OS;Mac OS;Linux;</t>
  </si>
  <si>
    <t>USB-C;USB-A;HDMI;Display Port;</t>
  </si>
  <si>
    <t>I appreciate how fast and easy to use the phone is.</t>
  </si>
  <si>
    <t>The performance of my desktop is the feature I most appreciate as well as the build quality</t>
  </si>
  <si>
    <t>Headphones, Keyboard, mouse, monitor, webcam, microphone, controller</t>
  </si>
  <si>
    <t>Build quality;Performance;Price;The form factor (size, shape, weight);Portability ;Ease of future upgrade;Pre-installed software;Style;</t>
  </si>
  <si>
    <t>USB-C;Headphone jack;USB-A;</t>
  </si>
  <si>
    <t>7 day battery, wireless charging</t>
  </si>
  <si>
    <t>Solid, capable of heavy number crunching</t>
  </si>
  <si>
    <t>various docks/ port externders, usb-serial,</t>
  </si>
  <si>
    <t>USB-A;USB-C;</t>
  </si>
  <si>
    <t>Performance;Build quality;The form factor (size, shape, weight);Price;Style;Ease of future upgrade;Portability ;Pre-installed software;</t>
  </si>
  <si>
    <t>Battery life</t>
  </si>
  <si>
    <t>Performance;Price;Build quality;Pre-installed software;Ease of future upgrade;Portability ;The form factor (size, shape, weight);Style;</t>
  </si>
  <si>
    <t>The phone's performance (specs);Camera quality (Photo);Battery Life;Camera quality {Video};Support for wireless charging;</t>
  </si>
  <si>
    <t>USB-A;USB-C;HDMI;VGA;Headphone jack;Display Port;</t>
  </si>
  <si>
    <t xml:space="preserve">The range of things it can provide with ease of use! </t>
  </si>
  <si>
    <t xml:space="preserve">My laptop enables me to use it for work items as well as for the gaming aspects. It came with pre installed software to play games without much issue. </t>
  </si>
  <si>
    <t xml:space="preserve">Trackball mouse, 60% keyboard and Xbox Controller. </t>
  </si>
  <si>
    <t>Performance;Price;Portability ;Build quality;The form factor (size, shape, weight);Ease of future upgrade;Pre-installed software;Style;</t>
  </si>
  <si>
    <t>Camera quality (Photo);Camera quality {Video};Battery Life;The phone's performance (specs);Support for wireless charging;</t>
  </si>
  <si>
    <t>USB-C;HDMI;Headphone jack;Display Port;</t>
  </si>
  <si>
    <t>photo quality very good</t>
  </si>
  <si>
    <t>lightweight and portable</t>
  </si>
  <si>
    <t xml:space="preserve">headphones, kindle, </t>
  </si>
  <si>
    <t>Price;Build quality;The form factor (size, shape, weight);Performance;Portability ;Ease of future upgrade;Style;Pre-installed software;</t>
  </si>
  <si>
    <t xml:space="preserve">Long battery life. </t>
  </si>
  <si>
    <t>Clear &amp; bright screen. Long battery life</t>
  </si>
  <si>
    <t>tracker ball. headphones</t>
  </si>
  <si>
    <t>Performance;Build quality;Price;Ease of future upgrade;The form factor (size, shape, weight);Style;Portability ;Pre-installed software;</t>
  </si>
  <si>
    <t>The phone's performance (specs);Battery Life;Support for wireless charging;Camera quality (Photo);Camera quality {Video};</t>
  </si>
  <si>
    <t>Mac OS;Windows;Linux;Chrome OS;</t>
  </si>
  <si>
    <t>USB-C;HDMI;USB-A;VGA;Headphone jack;Display Port;</t>
  </si>
  <si>
    <t>Clear display</t>
  </si>
  <si>
    <t>Printer, mouse, keyboard, speakers, 2nd display</t>
  </si>
  <si>
    <t>Price;Performance;Ease of future upgrade;The form factor (size, shape, weight);Build quality;Pre-installed software;Style;Portability ;</t>
  </si>
  <si>
    <t>The phone's performance (specs);Camera quality (Photo);Camera quality {Video};Battery Life;Support for wireless charging;</t>
  </si>
  <si>
    <t>USB-C;HDMI;Display Port;USB-A;VGA;Headphone jack;</t>
  </si>
  <si>
    <t>Value for money, good battery life. Camera works well in low light</t>
  </si>
  <si>
    <t xml:space="preserve">I can carry out multiple tasks without it slowing down. More than enough storage. </t>
  </si>
  <si>
    <t>Multi-card reader, visualiser, speakers</t>
  </si>
  <si>
    <t>Performance;Build quality;Ease of future upgrade;The form factor (size, shape, weight);Portability ;Style;Price;Pre-installed software;</t>
  </si>
  <si>
    <t>USB-C;USB-A;</t>
  </si>
  <si>
    <t>Can check pupils work and message them, can check email</t>
  </si>
  <si>
    <t>Google Classroom functions</t>
  </si>
  <si>
    <t>Performance;Price;Build quality;Portability ;The form factor (size, shape, weight);Ease of future upgrade;Style;Pre-installed software;</t>
  </si>
  <si>
    <t>Mac OS;Windows;Chrome OS;Linux;</t>
  </si>
  <si>
    <t>USB-C;HDMI;Headphone jack;Display Port;USB-A;</t>
  </si>
  <si>
    <t>Performance;Build quality;Ease of future upgrade;The form factor (size, shape, weight);Price;Portability ;Pre-installed software;Style;</t>
  </si>
  <si>
    <t>Windows;Chrome OS;Linux;Mac OS;</t>
  </si>
  <si>
    <t>Internet, Google maps, email and SMS</t>
  </si>
  <si>
    <t>Internet, multimedia</t>
  </si>
  <si>
    <t>Classroom display board</t>
  </si>
  <si>
    <t>Performance;Build quality;Ease of future upgrade;Price;Style;The form factor (size, shape, weight);Pre-installed software;Portability ;</t>
  </si>
  <si>
    <t>Camera quality (Photo);Camera quality {Video};The phone's performance (specs);Battery Life;Support for wireless charging;</t>
  </si>
  <si>
    <t>Windows;Linux;Mac OS;Chrome OS;</t>
  </si>
  <si>
    <t>Quality phones/video, cloud storage, build quality, style</t>
  </si>
  <si>
    <t>multi screens, SSD's, running volume</t>
  </si>
  <si>
    <t>Monitors, keyboard, mouse, mic, webcam, speakers, printer</t>
  </si>
  <si>
    <t>Performance;Price;Pre-installed software;Build quality;The form factor (size, shape, weight);Ease of future upgrade;Style;Portability ;</t>
  </si>
  <si>
    <t>USB-A;HDMI;USB-C;Headphone jack;</t>
  </si>
  <si>
    <t>Good battery life. Good camera/video. Quick and responsive</t>
  </si>
  <si>
    <t xml:space="preserve">memory. screen display. </t>
  </si>
  <si>
    <t>NA</t>
  </si>
  <si>
    <t>Performance;Price;Ease of future upgrade;Portability ;Build quality;Style;Pre-installed software;The form factor (size, shape, weight);</t>
  </si>
  <si>
    <t>Battery Life;Camera quality (Photo);Camera quality {Video};The phone's performance (specs);Support for wireless charging;</t>
  </si>
  <si>
    <t>USB-C;USB-A;Headphone jack;HDMI;</t>
  </si>
  <si>
    <t xml:space="preserve">Performance </t>
  </si>
  <si>
    <t xml:space="preserve">Battery life </t>
  </si>
  <si>
    <t xml:space="preserve">Speakers, dual monitor, mouse, keyboard </t>
  </si>
  <si>
    <t>Performance;Build quality;Portability ;The form factor (size, shape, weight);Style;Price;Pre-installed software;Ease of future upgrade;</t>
  </si>
  <si>
    <t xml:space="preserve">Ease of app availability and downloads, versatility and compatibility with my other Apple products </t>
  </si>
  <si>
    <t xml:space="preserve">Portability, access to main work apps and collaborative tools (MS Office suite, Teams, Co-pilot), minimal downtime required for updates </t>
  </si>
  <si>
    <t>Headphones, mouse</t>
  </si>
  <si>
    <t>Performance;Price;Pre-installed software;Ease of future upgrade;Build quality;The form factor (size, shape, weight);Portability ;Style;</t>
  </si>
  <si>
    <t>Chrome OS;Mac OS;Windows;Linux;</t>
  </si>
  <si>
    <t>Cloud storage and compatibility with other devices.</t>
  </si>
  <si>
    <t>Cloud storage, compatibility with other devices and portability.</t>
  </si>
  <si>
    <t>Wireless printer, Bluetooth earbuds/headphones.</t>
  </si>
  <si>
    <t>Portability ;Performance;Build quality;The form factor (size, shape, weight);Price;Ease of future upgrade;Pre-installed software;Style;</t>
  </si>
  <si>
    <t>Camera, storage, speed</t>
  </si>
  <si>
    <t>Old device, very slow, need an upgrade</t>
  </si>
  <si>
    <t>Performance;Build quality;Ease of future upgrade;Price;The form factor (size, shape, weight);Portability ;Style;Pre-installed software;</t>
  </si>
  <si>
    <t>USB-C;USB-A;HDMI;VGA;Headphone jack;</t>
  </si>
  <si>
    <t>Reasonably compact ind interfaces nicely with my IPad/TV(With Fire stick)</t>
  </si>
  <si>
    <t>As above</t>
  </si>
  <si>
    <t>Fire stick, Apple TV, Apple Watch, AirTag.</t>
  </si>
  <si>
    <t>Price;Performance;Pre-installed software;Ease of future upgrade;The form factor (size, shape, weight);Build quality;Portability ;Style;</t>
  </si>
  <si>
    <t>Display Port;</t>
  </si>
  <si>
    <t>Ear pods</t>
  </si>
  <si>
    <t>Performance;Price;The form factor (size, shape, weight);Portability ;Build quality;Ease of future upgrade;Style;Pre-installed software;</t>
  </si>
  <si>
    <t>Cheap so I'm not worried about damaging it, long battery life and still functioning well after 7 years</t>
  </si>
  <si>
    <t>Performance, portability</t>
  </si>
  <si>
    <t>Keyboard &amp; mouse when working from home, ipad as second screen or writing tablet</t>
  </si>
  <si>
    <t>Performance;Price;Ease of future upgrade;Style;Build quality;The form factor (size, shape, weight);Portability ;Pre-installed software;</t>
  </si>
  <si>
    <t>Chrome OS;Windows;Mac OS;Linux;</t>
  </si>
  <si>
    <t>USB-C;HDMI;Headphone jack;</t>
  </si>
  <si>
    <t>Internet</t>
  </si>
  <si>
    <t xml:space="preserve">Internet </t>
  </si>
  <si>
    <t>Ipad</t>
  </si>
  <si>
    <t>Price;Build quality;Performance;Ease of future upgrade;Portability ;Style;Pre-installed software;The form factor (size, shape, weight);</t>
  </si>
  <si>
    <t xml:space="preserve">Calendar, </t>
  </si>
  <si>
    <t xml:space="preserve">Monitor </t>
  </si>
  <si>
    <t>Performance;Price;Build quality;The form factor (size, shape, weight);Portability ;Ease of future upgrade;Style;Pre-installed software;</t>
  </si>
  <si>
    <t>The phone's performance (specs);Battery Life;Camera quality (Photo);Support for wireless charging;Camera quality {Video};</t>
  </si>
  <si>
    <t>Simplicity, ease of use.</t>
  </si>
  <si>
    <t>Reliable, compatible with external devices such as keyboard. Handles multitasking relatively well.</t>
  </si>
  <si>
    <t>Wireless keyboard and mouse, wired headset.</t>
  </si>
  <si>
    <t>Keyboard, mouse, headset, webcam</t>
  </si>
  <si>
    <t>Price;Performance;Build quality;Ease of future upgrade;Pre-installed software;Portability ;The form factor (size, shape, weight);Style;</t>
  </si>
  <si>
    <t>USB-C;HDMI;USB-A;</t>
  </si>
  <si>
    <t>Camera quality and battery life</t>
  </si>
  <si>
    <t>Smart watch</t>
  </si>
  <si>
    <t>USB-C;USB-A;HDMI;Headphone jack;</t>
  </si>
  <si>
    <t>I enjoy the layout of the phone at the general performance and battery life of the phone during the first year of owning it.</t>
  </si>
  <si>
    <t>I appreciate how much load tolerance my PC can handle, whether that is with lots of internet tabs open, or a resource heavy video game, it seems to handle itself well with little problem</t>
  </si>
  <si>
    <t>Mouse, Keyboard, Controller, Earphones, Headset</t>
  </si>
  <si>
    <t>HDMI;</t>
  </si>
  <si>
    <t>storage</t>
  </si>
  <si>
    <t>card reader</t>
  </si>
  <si>
    <t>it is waterproof</t>
  </si>
  <si>
    <t>speed, its fast</t>
  </si>
  <si>
    <t>Audio interface, Studio monitors, keyboard, mouse</t>
  </si>
  <si>
    <t>Build quality;Performance;Price;The form factor (size, shape, weight);Portability ;Ease of future upgrade;Style;Pre-installed software;</t>
  </si>
  <si>
    <t>USB-C;USB-A;Display Port;</t>
  </si>
  <si>
    <t>For work the Teams app &amp; Outlook.</t>
  </si>
  <si>
    <t>The display, performance and ease of use.</t>
  </si>
  <si>
    <t>Keyboard, Monitor, Headphones, Mouse.</t>
  </si>
  <si>
    <t>screen size, speed</t>
  </si>
  <si>
    <t xml:space="preserve">Battery life and RAM for multitasking </t>
  </si>
  <si>
    <t>keyboard, mouse</t>
  </si>
  <si>
    <t>Price;Build quality;Performance;The form factor (size, shape, weight);Portability ;Ease of future upgrade;Style;Pre-installed software;</t>
  </si>
  <si>
    <t>long software support, dual sim, wi-fi calling</t>
  </si>
  <si>
    <t>multi-display, backlit keyboard</t>
  </si>
  <si>
    <t>FIDO2 security token</t>
  </si>
  <si>
    <t>Missing Data</t>
  </si>
  <si>
    <t>Computer Rating</t>
  </si>
  <si>
    <t>Phone Rating</t>
  </si>
  <si>
    <t xml:space="preserve">Apple Work flow is ideal for me. Ease of use </t>
  </si>
  <si>
    <t>Phone of Choice Total (Raw Data)</t>
  </si>
  <si>
    <t>OLED screen and high refresh rate.
Makes screen tear less during animations</t>
  </si>
  <si>
    <t>Portability due to being on my feet alot
Size so its easier to carry
Battery life is good as im away from a charger quite alot</t>
  </si>
  <si>
    <t xml:space="preserve">Work laptop:
Ability to run several applications at once. Example: code editor, web browser and Microsoft Teams. Allows me to carry out my day to day work with ease.  </t>
  </si>
  <si>
    <t>1. Camera Quality
High-resolution cameras with advanced features like night mode, portrait mode, and optical zoom are highly appreciated for capturing stunning photos and videos.
2. Battery Life
Long-lasting battery life is crucial for staying connected throughout the day without constantly needing to recharge.
3. User Interface
A smooth and intuitive user interface enhances the overall user experience, making it easy to navigate and use various apps and features.
4. Performance
Fast processors and ample RAM ensure that the phone runs smoothly, even when multitasking or using resource-intensive apps.
5. Connectivity
Features like 5G support, Wi-Fi 6, and Bluetooth 5.0 provide faster and more reliable connections for internet browsing, streaming, and connecting to other devices.
6. Security
Biometric authentication methods like fingerprint sensors and facial recognition add an extra layer of security and convenience.</t>
  </si>
  <si>
    <t>1. Performance
High-speed processors, ample RAM, and solid-state drives (SSDs) ensure fast and efficient performance, even when multitasking or running demanding applications.
2. Display Quality
High-resolution displays with accurate color reproduction and good brightness levels enhance the visual experience, whether for work, gaming, or media consumption.
3. Battery Life
For laptops, long battery life is crucial for working on the go without constantly needing to recharge.
4. Portability
Lightweight and slim designs make laptops easy to carry around, which is especially important for those who travel frequently.
5. Connectivity Options
Multiple ports (USB, HDMI, Thunderbolt, etc.) and wireless connectivity options (Wi-Fi, Bluetooth) provide flexibility for connecting various peripherals and devices.</t>
  </si>
  <si>
    <t xml:space="preserve">Keyboard, Mouse, Monitor,Printer, Headphones, Microphone
</t>
  </si>
  <si>
    <t>Compatibility with other devices
Ease of use
Battery life
Photo quality</t>
  </si>
  <si>
    <t>Touch screen
Small and light
Attractive design
Sensible price</t>
  </si>
  <si>
    <t xml:space="preserve">Printer
Screen
Keyboard
Mouse
</t>
  </si>
  <si>
    <t>Phone
Tablet
PC</t>
  </si>
  <si>
    <t xml:space="preserve"> Chrome cast for tv</t>
  </si>
  <si>
    <t>Phone of Choice Total (Primary Research Data)</t>
  </si>
  <si>
    <t xml:space="preserve">The Primary Research Data has a smaller sample size, and therefore may be less accurate. Some data was missing in the Primary Research Data, which was caused by a respondant not answering this question, so this data could not be accounted for. The percentage of Android users is slightly lower in the Primary Research Data(down to 34% compared to the Raw Data's 46%), with Apple being preferred in the Primary Research Data. The No Preference option is also more popular in the Primary Research Data, being at 15% compared to the Raw Data's 9%.
</t>
  </si>
  <si>
    <t>Comment on two pie charts</t>
  </si>
  <si>
    <t xml:space="preserve">Male </t>
  </si>
  <si>
    <t>Employees of Each Gender (Raw Data)</t>
  </si>
  <si>
    <t>Total Employees (Raw Data)</t>
  </si>
  <si>
    <t>Employees Under 30</t>
  </si>
  <si>
    <t>Percentage of Employees Under 30</t>
  </si>
  <si>
    <t>Number</t>
  </si>
  <si>
    <t>Total</t>
  </si>
  <si>
    <t>Percentage of employee wanting Mac OS</t>
  </si>
  <si>
    <t>Percentage of employee wanting an HP laptop with Windows</t>
  </si>
  <si>
    <t>Percentage of employee wanting Windows, given they chose a Lenovo Laptop</t>
  </si>
  <si>
    <t>Percentage of employee wanting a Dell laptop, given they chose a Linux OS</t>
  </si>
  <si>
    <t>Smallest Annual Salary in Raw Data</t>
  </si>
  <si>
    <t>Largest Annual Salary in Raw Data</t>
  </si>
  <si>
    <t>Row Labels</t>
  </si>
  <si>
    <t>Grand Total</t>
  </si>
  <si>
    <t>20000-29999</t>
  </si>
  <si>
    <t>30000-39999</t>
  </si>
  <si>
    <t>40000-49999</t>
  </si>
  <si>
    <t>50000-59999</t>
  </si>
  <si>
    <t>60000-69999</t>
  </si>
  <si>
    <t>70000-79999</t>
  </si>
  <si>
    <t>80000-89999</t>
  </si>
  <si>
    <t>90000-99999</t>
  </si>
  <si>
    <t>Count of Employees with that Annual Salary</t>
  </si>
  <si>
    <t>From this histogram, you can draw the 
conclusion that annual salaries are not 
normally distributed. There is a clear 
weighting towards the lower end of the 
annual salary range. Therefore, you would need to use the median, rather than the mean to calculate a fair average of annual salary for all employees. There also appears to be a 'salary ceiling' around the £50000-£59999 range, where the amount of employees in the previous three ranges keeps decreasing in frequency up to this range, and then the amount of employees in the range afterwards (£60000-£69999) increases before again continuing to decrease in frequency in ranges afterwards. This could suggest there are two 'groupings' of job roles either side of the £50000-£59999 range, but this would require using data outside the annual salaries to draw any conclusions.</t>
  </si>
  <si>
    <t>Maximum number of months with the company</t>
  </si>
  <si>
    <t>Minimum number of months with the company</t>
  </si>
  <si>
    <t>Range</t>
  </si>
  <si>
    <t>Interval Width</t>
  </si>
  <si>
    <t>Bin Width</t>
  </si>
  <si>
    <t>Bin</t>
  </si>
  <si>
    <t>0-48</t>
  </si>
  <si>
    <t>49-96</t>
  </si>
  <si>
    <t>97-144</t>
  </si>
  <si>
    <t>145-192</t>
  </si>
  <si>
    <t>193-240</t>
  </si>
  <si>
    <t>241-288</t>
  </si>
  <si>
    <t>289-336</t>
  </si>
  <si>
    <t>337-384</t>
  </si>
  <si>
    <t>385-432</t>
  </si>
  <si>
    <t>433-480</t>
  </si>
  <si>
    <t>Midpoint</t>
  </si>
  <si>
    <r>
      <t>Midpoint</t>
    </r>
    <r>
      <rPr>
        <vertAlign val="superscript"/>
        <sz val="10"/>
        <color rgb="FF000000"/>
        <rFont val="Arial"/>
        <family val="2"/>
        <scheme val="minor"/>
      </rPr>
      <t>2</t>
    </r>
  </si>
  <si>
    <t>Frequency</t>
  </si>
  <si>
    <t>Sum of frequencies</t>
  </si>
  <si>
    <t>Frequency x Midpoint</t>
  </si>
  <si>
    <t>Sum of Frequency X Midpoint</t>
  </si>
  <si>
    <r>
      <t>Frequency x Midpoint</t>
    </r>
    <r>
      <rPr>
        <vertAlign val="superscript"/>
        <sz val="10"/>
        <color rgb="FF000000"/>
        <rFont val="Arial"/>
        <family val="2"/>
        <scheme val="minor"/>
      </rPr>
      <t>2</t>
    </r>
  </si>
  <si>
    <r>
      <t>Sum of Frequncy x Midpoint</t>
    </r>
    <r>
      <rPr>
        <vertAlign val="superscript"/>
        <sz val="10"/>
        <color rgb="FF000000"/>
        <rFont val="Arial"/>
        <family val="2"/>
        <scheme val="minor"/>
      </rPr>
      <t>2</t>
    </r>
  </si>
  <si>
    <t>Mean without inbuilt function</t>
  </si>
  <si>
    <t>Variance without inbuilt function</t>
  </si>
  <si>
    <t>Standard Deviation without inbuilt function</t>
  </si>
  <si>
    <t>Mean with inbuilt function</t>
  </si>
  <si>
    <t>Standard Deviation with inbuilt 
function</t>
  </si>
  <si>
    <t>Mean with inbuilt function for computer rating
 (Primary Research Data)</t>
  </si>
  <si>
    <t>Standard Deviation for computer 
rating (Primary Research Data)</t>
  </si>
  <si>
    <t>Comment</t>
  </si>
  <si>
    <t>The mean for the computer
rating is much closer to the maximum
possible rating than the mean for the
employees number of months with the
company, meaning employees that 
stay tend to stay a long time, but few do, wieghting the mean towards the minimum. The mean in the primary research data mens that the majority are actually happy with their computers. The standard deviation is roughly the same ratio of the range for both data sets, indicating the deviation for the mean is similar.</t>
  </si>
  <si>
    <t>The mean is much closer to the minimum 
than the maximum, indicating that few people
stay for long at the company, but those that
do tend to last. The standard deviation is 
also higher than the mean, indicating there
is a lot of deviation.</t>
  </si>
  <si>
    <t>The difference between the values that
were calculated and those using the 
inbuilt function is due to the midpoints
being used, whereas the inbuilt functions are using the actual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</si>
</sst>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color theme="1"/>
      <name val="Calibri"/>
      <family val="2"/>
    </font>
    <font>
      <sz val="10"/>
      <color rgb="FF000000"/>
      <name val="Calibri"/>
      <family val="2"/>
    </font>
    <font>
      <sz val="10"/>
      <color rgb="FF000000"/>
      <name val="Arial"/>
      <family val="2"/>
      <scheme val="minor"/>
    </font>
    <font>
      <b/>
      <sz val="10"/>
      <color rgb="FF000000"/>
      <name val="Arial"/>
      <family val="2"/>
      <scheme val="minor"/>
    </font>
    <font>
      <vertAlign val="superscript"/>
      <sz val="10"/>
      <color rgb="FF00000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cellStyleXfs>
  <cellXfs count="26">
    <xf numFmtId="0" fontId="0" fillId="0" borderId="0" xfId="0"/>
    <xf numFmtId="0" fontId="19" fillId="0" borderId="0" xfId="0" applyFont="1" applyAlignment="1">
      <alignment horizontal="center"/>
    </xf>
    <xf numFmtId="0" fontId="19" fillId="0" borderId="0" xfId="0" applyFont="1" applyAlignment="1">
      <alignment horizontal="center" vertical="center"/>
    </xf>
    <xf numFmtId="0" fontId="18" fillId="0" borderId="0" xfId="0" applyFont="1" applyAlignment="1">
      <alignment horizontal="center"/>
    </xf>
    <xf numFmtId="0" fontId="18" fillId="0" borderId="0" xfId="0" applyFont="1" applyAlignment="1">
      <alignment horizontal="center" vertical="center"/>
    </xf>
    <xf numFmtId="0" fontId="18" fillId="0" borderId="0" xfId="41" applyFont="1" applyAlignment="1">
      <alignment horizontal="center"/>
    </xf>
    <xf numFmtId="0" fontId="18" fillId="0" borderId="0" xfId="41" applyFont="1" applyAlignment="1">
      <alignment horizontal="center" readingOrder="1"/>
    </xf>
    <xf numFmtId="0" fontId="18" fillId="0" borderId="0" xfId="41" applyFont="1" applyAlignment="1">
      <alignment horizontal="center" vertical="center"/>
    </xf>
    <xf numFmtId="0" fontId="18" fillId="0" borderId="0" xfId="41" applyFont="1" applyAlignment="1">
      <alignment horizontal="center" vertical="center" readingOrder="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9" fillId="0" borderId="10" xfId="0" applyFont="1" applyBorder="1" applyAlignment="1">
      <alignment horizontal="center"/>
    </xf>
    <xf numFmtId="0" fontId="20" fillId="0" borderId="0" xfId="0" applyFont="1"/>
    <xf numFmtId="0" fontId="0" fillId="0" borderId="10" xfId="0" applyBorder="1"/>
    <xf numFmtId="0" fontId="20" fillId="0" borderId="10" xfId="0" applyFont="1" applyBorder="1"/>
    <xf numFmtId="0" fontId="0" fillId="0" borderId="0" xfId="0" applyAlignment="1">
      <alignment wrapText="1"/>
    </xf>
    <xf numFmtId="2" fontId="0" fillId="0" borderId="10" xfId="0" applyNumberFormat="1" applyBorder="1"/>
    <xf numFmtId="0" fontId="21" fillId="0" borderId="10" xfId="0" applyFont="1" applyBorder="1"/>
    <xf numFmtId="0" fontId="0" fillId="0" borderId="0" xfId="0" quotePrefix="1"/>
    <xf numFmtId="0" fontId="20" fillId="0" borderId="0" xfId="0" quotePrefix="1" applyFont="1"/>
    <xf numFmtId="0" fontId="20" fillId="0" borderId="10" xfId="0" quotePrefix="1" applyFont="1" applyBorder="1"/>
    <xf numFmtId="0" fontId="0" fillId="0" borderId="0" xfId="0" pivotButton="1"/>
    <xf numFmtId="0" fontId="0" fillId="0" borderId="0" xfId="0" applyAlignment="1">
      <alignment horizontal="left"/>
    </xf>
    <xf numFmtId="0" fontId="20" fillId="0" borderId="10" xfId="0" applyFont="1" applyBorder="1" applyAlignment="1">
      <alignment wrapText="1"/>
    </xf>
    <xf numFmtId="0" fontId="20" fillId="0" borderId="10" xfId="0" applyFont="1" applyBorder="1" applyAlignment="1">
      <alignment vertical="top"/>
    </xf>
    <xf numFmtId="0" fontId="0" fillId="0" borderId="10" xfId="0" applyBorder="1" applyAlignment="1">
      <alignment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B10A1CB2-C917-479B-A7B4-4B4F98825528}"/>
    <cellStyle name="Note 2" xfId="42" xr:uid="{3B8ED41A-F9CC-433A-BAB0-2D16A107158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Phone of Choice </a:t>
            </a:r>
          </a:p>
          <a:p>
            <a:pPr>
              <a:defRPr/>
            </a:pPr>
            <a:r>
              <a:rPr lang="en-GB"/>
              <a:t>(Raw Data) </a:t>
            </a:r>
          </a:p>
        </c:rich>
      </c:tx>
      <c:layout>
        <c:manualLayout>
          <c:xMode val="edge"/>
          <c:yMode val="edge"/>
          <c:x val="0.40440608240629983"/>
          <c:y val="1.11088589173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1'!$D$2</c:f>
              <c:strCache>
                <c:ptCount val="1"/>
                <c:pt idx="0">
                  <c:v>Phone of Choice Total (Raw Data)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28-4D4A-B9AB-73ADA08211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28-4D4A-B9AB-73ADA08211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28-4D4A-B9AB-73ADA08211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1'!$C$3:$C$5</c:f>
              <c:strCache>
                <c:ptCount val="3"/>
                <c:pt idx="0">
                  <c:v>Apple</c:v>
                </c:pt>
                <c:pt idx="1">
                  <c:v>Android</c:v>
                </c:pt>
                <c:pt idx="2">
                  <c:v>No Preference</c:v>
                </c:pt>
              </c:strCache>
            </c:strRef>
          </c:cat>
          <c:val>
            <c:numRef>
              <c:f>'Task 1'!$D$3:$D$5</c:f>
              <c:numCache>
                <c:formatCode>General</c:formatCode>
                <c:ptCount val="3"/>
                <c:pt idx="0">
                  <c:v>82</c:v>
                </c:pt>
                <c:pt idx="1">
                  <c:v>85</c:v>
                </c:pt>
                <c:pt idx="2">
                  <c:v>17</c:v>
                </c:pt>
              </c:numCache>
            </c:numRef>
          </c:val>
          <c:extLst>
            <c:ext xmlns:c16="http://schemas.microsoft.com/office/drawing/2014/chart" uri="{C3380CC4-5D6E-409C-BE32-E72D297353CC}">
              <c16:uniqueId val="{00000000-8E6E-4D9D-87E1-1B217D62E67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Phone of Choice </a:t>
            </a:r>
          </a:p>
          <a:p>
            <a:pPr>
              <a:defRPr/>
            </a:pPr>
            <a:r>
              <a:rPr lang="en-US"/>
              <a:t>(Primary Research Data)</a:t>
            </a:r>
          </a:p>
        </c:rich>
      </c:tx>
      <c:layout>
        <c:manualLayout>
          <c:xMode val="edge"/>
          <c:yMode val="edge"/>
          <c:x val="0.24640364398894582"/>
          <c:y val="1.45501370339757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1'!$D$25</c:f>
              <c:strCache>
                <c:ptCount val="1"/>
                <c:pt idx="0">
                  <c:v>Phone of Choice Total (Primary Research Data)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C5-4566-ABED-73C36A80A6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C5-4566-ABED-73C36A80A6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C5-4566-ABED-73C36A80A6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C5-4566-ABED-73C36A80A6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1'!$C$26:$C$29</c:f>
              <c:strCache>
                <c:ptCount val="4"/>
                <c:pt idx="0">
                  <c:v>Apple</c:v>
                </c:pt>
                <c:pt idx="1">
                  <c:v>Android</c:v>
                </c:pt>
                <c:pt idx="2">
                  <c:v>No Preference</c:v>
                </c:pt>
                <c:pt idx="3">
                  <c:v>Missing Data</c:v>
                </c:pt>
              </c:strCache>
            </c:strRef>
          </c:cat>
          <c:val>
            <c:numRef>
              <c:f>'Task 1'!$D$26:$D$29</c:f>
              <c:numCache>
                <c:formatCode>General</c:formatCode>
                <c:ptCount val="4"/>
                <c:pt idx="0">
                  <c:v>20</c:v>
                </c:pt>
                <c:pt idx="1">
                  <c:v>14</c:v>
                </c:pt>
                <c:pt idx="2">
                  <c:v>6</c:v>
                </c:pt>
                <c:pt idx="3">
                  <c:v>1</c:v>
                </c:pt>
              </c:numCache>
            </c:numRef>
          </c:val>
          <c:extLst>
            <c:ext xmlns:c16="http://schemas.microsoft.com/office/drawing/2014/chart" uri="{C3380CC4-5D6E-409C-BE32-E72D297353CC}">
              <c16:uniqueId val="{00000000-F93E-4FA5-92EC-B4A76F3E59C6}"/>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1'!$D$33</c:f>
              <c:strCache>
                <c:ptCount val="1"/>
                <c:pt idx="0">
                  <c:v>Employees of Each Gender (Raw Data)</c:v>
                </c:pt>
              </c:strCache>
            </c:strRef>
          </c:tx>
          <c:spPr>
            <a:solidFill>
              <a:schemeClr val="accent1"/>
            </a:solidFill>
            <a:ln>
              <a:noFill/>
            </a:ln>
            <a:effectLst/>
          </c:spPr>
          <c:invertIfNegative val="0"/>
          <c:cat>
            <c:strRef>
              <c:f>'Task 1'!$C$34:$C$36</c:f>
              <c:strCache>
                <c:ptCount val="3"/>
                <c:pt idx="0">
                  <c:v>Male </c:v>
                </c:pt>
                <c:pt idx="1">
                  <c:v>Female</c:v>
                </c:pt>
                <c:pt idx="2">
                  <c:v>Non-binary</c:v>
                </c:pt>
              </c:strCache>
            </c:strRef>
          </c:cat>
          <c:val>
            <c:numRef>
              <c:f>'Task 1'!$D$34:$D$36</c:f>
              <c:numCache>
                <c:formatCode>General</c:formatCode>
                <c:ptCount val="3"/>
                <c:pt idx="0">
                  <c:v>132</c:v>
                </c:pt>
                <c:pt idx="1">
                  <c:v>51</c:v>
                </c:pt>
                <c:pt idx="2">
                  <c:v>1</c:v>
                </c:pt>
              </c:numCache>
            </c:numRef>
          </c:val>
          <c:extLst>
            <c:ext xmlns:c16="http://schemas.microsoft.com/office/drawing/2014/chart" uri="{C3380CC4-5D6E-409C-BE32-E72D297353CC}">
              <c16:uniqueId val="{00000000-8287-45F0-8B12-2D07CE6D8EAC}"/>
            </c:ext>
          </c:extLst>
        </c:ser>
        <c:dLbls>
          <c:showLegendKey val="0"/>
          <c:showVal val="0"/>
          <c:showCatName val="0"/>
          <c:showSerName val="0"/>
          <c:showPercent val="0"/>
          <c:showBubbleSize val="0"/>
        </c:dLbls>
        <c:gapWidth val="219"/>
        <c:overlap val="-27"/>
        <c:axId val="711202560"/>
        <c:axId val="711201480"/>
      </c:barChart>
      <c:catAx>
        <c:axId val="71120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1480"/>
        <c:crosses val="autoZero"/>
        <c:auto val="1"/>
        <c:lblAlgn val="ctr"/>
        <c:lblOffset val="100"/>
        <c:noMultiLvlLbl val="0"/>
      </c:catAx>
      <c:valAx>
        <c:axId val="71120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2560"/>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[g030180o.xlsx]Task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r>
              <a:rPr lang="en-US" baseline="0"/>
              <a:t> Distribution of Annual Salary </a:t>
            </a:r>
            <a:endParaRPr lang="en-US"/>
          </a:p>
        </c:rich>
      </c:tx>
      <c:layout>
        <c:manualLayout>
          <c:xMode val="edge"/>
          <c:yMode val="edge"/>
          <c:x val="0.1501526684164479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3'!$C$7</c:f>
              <c:strCache>
                <c:ptCount val="1"/>
                <c:pt idx="0">
                  <c:v>Total</c:v>
                </c:pt>
              </c:strCache>
            </c:strRef>
          </c:tx>
          <c:spPr>
            <a:solidFill>
              <a:schemeClr val="accent1"/>
            </a:solidFill>
            <a:ln>
              <a:noFill/>
            </a:ln>
            <a:effectLst/>
          </c:spPr>
          <c:invertIfNegative val="0"/>
          <c:cat>
            <c:strRef>
              <c:f>'Task 3'!$B$8:$B$16</c:f>
              <c:strCache>
                <c:ptCount val="8"/>
                <c:pt idx="0">
                  <c:v>20000-29999</c:v>
                </c:pt>
                <c:pt idx="1">
                  <c:v>30000-39999</c:v>
                </c:pt>
                <c:pt idx="2">
                  <c:v>40000-49999</c:v>
                </c:pt>
                <c:pt idx="3">
                  <c:v>50000-59999</c:v>
                </c:pt>
                <c:pt idx="4">
                  <c:v>60000-69999</c:v>
                </c:pt>
                <c:pt idx="5">
                  <c:v>70000-79999</c:v>
                </c:pt>
                <c:pt idx="6">
                  <c:v>80000-89999</c:v>
                </c:pt>
                <c:pt idx="7">
                  <c:v>90000-99999</c:v>
                </c:pt>
              </c:strCache>
            </c:strRef>
          </c:cat>
          <c:val>
            <c:numRef>
              <c:f>'Task 3'!$C$8:$C$16</c:f>
              <c:numCache>
                <c:formatCode>General</c:formatCode>
                <c:ptCount val="8"/>
                <c:pt idx="0">
                  <c:v>59</c:v>
                </c:pt>
                <c:pt idx="1">
                  <c:v>33</c:v>
                </c:pt>
                <c:pt idx="2">
                  <c:v>22</c:v>
                </c:pt>
                <c:pt idx="3">
                  <c:v>10</c:v>
                </c:pt>
                <c:pt idx="4">
                  <c:v>20</c:v>
                </c:pt>
                <c:pt idx="5">
                  <c:v>17</c:v>
                </c:pt>
                <c:pt idx="6">
                  <c:v>12</c:v>
                </c:pt>
                <c:pt idx="7">
                  <c:v>11</c:v>
                </c:pt>
              </c:numCache>
            </c:numRef>
          </c:val>
          <c:extLst>
            <c:ext xmlns:c16="http://schemas.microsoft.com/office/drawing/2014/chart" uri="{C3380CC4-5D6E-409C-BE32-E72D297353CC}">
              <c16:uniqueId val="{00000000-92C1-4C69-A007-4FDFEC8B11D1}"/>
            </c:ext>
          </c:extLst>
        </c:ser>
        <c:dLbls>
          <c:showLegendKey val="0"/>
          <c:showVal val="0"/>
          <c:showCatName val="0"/>
          <c:showSerName val="0"/>
          <c:showPercent val="0"/>
          <c:showBubbleSize val="0"/>
        </c:dLbls>
        <c:gapWidth val="219"/>
        <c:overlap val="-27"/>
        <c:axId val="572523632"/>
        <c:axId val="572522552"/>
      </c:barChart>
      <c:catAx>
        <c:axId val="5725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22552"/>
        <c:crosses val="autoZero"/>
        <c:auto val="1"/>
        <c:lblAlgn val="ctr"/>
        <c:lblOffset val="100"/>
        <c:noMultiLvlLbl val="0"/>
      </c:catAx>
      <c:valAx>
        <c:axId val="572522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2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19050</xdr:rowOff>
    </xdr:from>
    <xdr:to>
      <xdr:col>3</xdr:col>
      <xdr:colOff>1422399</xdr:colOff>
      <xdr:row>23</xdr:row>
      <xdr:rowOff>152400</xdr:rowOff>
    </xdr:to>
    <xdr:graphicFrame macro="">
      <xdr:nvGraphicFramePr>
        <xdr:cNvPr id="2" name="Chart 1">
          <a:extLst>
            <a:ext uri="{FF2B5EF4-FFF2-40B4-BE49-F238E27FC236}">
              <a16:creationId xmlns:a16="http://schemas.microsoft.com/office/drawing/2014/main" id="{A9081F28-02A5-3DB6-7426-7FE9F64F3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1435100</xdr:colOff>
      <xdr:row>6</xdr:row>
      <xdr:rowOff>0</xdr:rowOff>
    </xdr:from>
    <xdr:to>
      <xdr:col>4</xdr:col>
      <xdr:colOff>19050</xdr:colOff>
      <xdr:row>23</xdr:row>
      <xdr:rowOff>123825</xdr:rowOff>
    </xdr:to>
    <xdr:graphicFrame macro="">
      <xdr:nvGraphicFramePr>
        <xdr:cNvPr id="3" name="Chart 2">
          <a:extLst>
            <a:ext uri="{FF2B5EF4-FFF2-40B4-BE49-F238E27FC236}">
              <a16:creationId xmlns:a16="http://schemas.microsoft.com/office/drawing/2014/main" id="{7A3F66C4-1D6F-B0E7-623A-A3406A1E0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1495425</xdr:colOff>
      <xdr:row>37</xdr:row>
      <xdr:rowOff>133350</xdr:rowOff>
    </xdr:from>
    <xdr:to>
      <xdr:col>3</xdr:col>
      <xdr:colOff>3448050</xdr:colOff>
      <xdr:row>54</xdr:row>
      <xdr:rowOff>123825</xdr:rowOff>
    </xdr:to>
    <xdr:graphicFrame macro="">
      <xdr:nvGraphicFramePr>
        <xdr:cNvPr id="4" name="Chart 3">
          <a:extLst>
            <a:ext uri="{FF2B5EF4-FFF2-40B4-BE49-F238E27FC236}">
              <a16:creationId xmlns:a16="http://schemas.microsoft.com/office/drawing/2014/main" id="{C872835A-D89C-5039-0CE3-B3A820395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82550</xdr:colOff>
      <xdr:row>5</xdr:row>
      <xdr:rowOff>47625</xdr:rowOff>
    </xdr:from>
    <xdr:to>
      <xdr:col>9</xdr:col>
      <xdr:colOff>342900</xdr:colOff>
      <xdr:row>22</xdr:row>
      <xdr:rowOff>34925</xdr:rowOff>
    </xdr:to>
    <xdr:graphicFrame macro="">
      <xdr:nvGraphicFramePr>
        <xdr:cNvPr id="4" name="Chart 3">
          <a:extLst>
            <a:ext uri="{FF2B5EF4-FFF2-40B4-BE49-F238E27FC236}">
              <a16:creationId xmlns:a16="http://schemas.microsoft.com/office/drawing/2014/main" id="{59943663-1D22-46A3-29BB-AA9B92700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 Gardiner" refreshedDate="45753.573654976855" createdVersion="8" refreshedVersion="8" minRefreshableVersion="3" recordCount="184" xr:uid="{0444C3E8-01BF-4A7E-B134-47E1B29D1C1D}">
  <cacheSource type="worksheet">
    <worksheetSource ref="E1:E185" sheet="Raw Data"/>
  </cacheSource>
  <cacheFields count="1">
    <cacheField name="Annual Salary (as declared)" numFmtId="0">
      <sharedItems containsSemiMixedTypes="0" containsString="0" containsNumber="1" containsInteger="1" minValue="20000" maxValue="99000" count="95">
        <n v="86000"/>
        <n v="61000"/>
        <n v="98000"/>
        <n v="77000"/>
        <n v="87500"/>
        <n v="51500"/>
        <n v="83500"/>
        <n v="62000"/>
        <n v="81000"/>
        <n v="63000"/>
        <n v="35000"/>
        <n v="85000"/>
        <n v="30500"/>
        <n v="40000"/>
        <n v="37500"/>
        <n v="50500"/>
        <n v="59000"/>
        <n v="72500"/>
        <n v="24500"/>
        <n v="33500"/>
        <n v="62500"/>
        <n v="52000"/>
        <n v="31000"/>
        <n v="32000"/>
        <n v="76000"/>
        <n v="83000"/>
        <n v="70500"/>
        <n v="70000"/>
        <n v="91000"/>
        <n v="66000"/>
        <n v="43000"/>
        <n v="63500"/>
        <n v="67500"/>
        <n v="68500"/>
        <n v="74500"/>
        <n v="48000"/>
        <n v="80500"/>
        <n v="38500"/>
        <n v="48500"/>
        <n v="43500"/>
        <n v="71000"/>
        <n v="44000"/>
        <n v="29500"/>
        <n v="60500"/>
        <n v="93500"/>
        <n v="74000"/>
        <n v="31500"/>
        <n v="94500"/>
        <n v="33000"/>
        <n v="79000"/>
        <n v="96500"/>
        <n v="42000"/>
        <n v="41500"/>
        <n v="24000"/>
        <n v="32500"/>
        <n v="56000"/>
        <n v="82000"/>
        <n v="89000"/>
        <n v="79500"/>
        <n v="34000"/>
        <n v="25000"/>
        <n v="44500"/>
        <n v="67000"/>
        <n v="54500"/>
        <n v="28500"/>
        <n v="57000"/>
        <n v="69500"/>
        <n v="55500"/>
        <n v="56500"/>
        <n v="28000"/>
        <n v="29000"/>
        <n v="34500"/>
        <n v="66500"/>
        <n v="25500"/>
        <n v="26000"/>
        <n v="40500"/>
        <n v="23500"/>
        <n v="22000"/>
        <n v="42500"/>
        <n v="47500"/>
        <n v="92000"/>
        <n v="99000"/>
        <n v="22500"/>
        <n v="27000"/>
        <n v="21000"/>
        <n v="82500"/>
        <n v="27500"/>
        <n v="41000"/>
        <n v="47000"/>
        <n v="65000"/>
        <n v="39500"/>
        <n v="93000"/>
        <n v="23000"/>
        <n v="20000"/>
        <n v="20500"/>
      </sharedItems>
      <fieldGroup base="0">
        <rangePr startNum="20000" endNum="99000" groupInterval="10000"/>
        <groupItems count="10">
          <s v="&lt;20000"/>
          <s v="20000-29999"/>
          <s v="30000-39999"/>
          <s v="40000-49999"/>
          <s v="50000-59999"/>
          <s v="60000-69999"/>
          <s v="70000-79999"/>
          <s v="80000-89999"/>
          <s v="90000-99999"/>
          <s v="&gt;1000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x v="0"/>
  </r>
  <r>
    <x v="1"/>
  </r>
  <r>
    <x v="0"/>
  </r>
  <r>
    <x v="2"/>
  </r>
  <r>
    <x v="3"/>
  </r>
  <r>
    <x v="4"/>
  </r>
  <r>
    <x v="5"/>
  </r>
  <r>
    <x v="6"/>
  </r>
  <r>
    <x v="7"/>
  </r>
  <r>
    <x v="8"/>
  </r>
  <r>
    <x v="9"/>
  </r>
  <r>
    <x v="10"/>
  </r>
  <r>
    <x v="11"/>
  </r>
  <r>
    <x v="12"/>
  </r>
  <r>
    <x v="13"/>
  </r>
  <r>
    <x v="14"/>
  </r>
  <r>
    <x v="1"/>
  </r>
  <r>
    <x v="15"/>
  </r>
  <r>
    <x v="16"/>
  </r>
  <r>
    <x v="9"/>
  </r>
  <r>
    <x v="17"/>
  </r>
  <r>
    <x v="18"/>
  </r>
  <r>
    <x v="19"/>
  </r>
  <r>
    <x v="14"/>
  </r>
  <r>
    <x v="20"/>
  </r>
  <r>
    <x v="21"/>
  </r>
  <r>
    <x v="22"/>
  </r>
  <r>
    <x v="23"/>
  </r>
  <r>
    <x v="24"/>
  </r>
  <r>
    <x v="25"/>
  </r>
  <r>
    <x v="26"/>
  </r>
  <r>
    <x v="27"/>
  </r>
  <r>
    <x v="28"/>
  </r>
  <r>
    <x v="29"/>
  </r>
  <r>
    <x v="30"/>
  </r>
  <r>
    <x v="31"/>
  </r>
  <r>
    <x v="32"/>
  </r>
  <r>
    <x v="33"/>
  </r>
  <r>
    <x v="34"/>
  </r>
  <r>
    <x v="35"/>
  </r>
  <r>
    <x v="36"/>
  </r>
  <r>
    <x v="19"/>
  </r>
  <r>
    <x v="37"/>
  </r>
  <r>
    <x v="38"/>
  </r>
  <r>
    <x v="39"/>
  </r>
  <r>
    <x v="26"/>
  </r>
  <r>
    <x v="40"/>
  </r>
  <r>
    <x v="41"/>
  </r>
  <r>
    <x v="9"/>
  </r>
  <r>
    <x v="42"/>
  </r>
  <r>
    <x v="43"/>
  </r>
  <r>
    <x v="18"/>
  </r>
  <r>
    <x v="44"/>
  </r>
  <r>
    <x v="45"/>
  </r>
  <r>
    <x v="46"/>
  </r>
  <r>
    <x v="35"/>
  </r>
  <r>
    <x v="47"/>
  </r>
  <r>
    <x v="41"/>
  </r>
  <r>
    <x v="48"/>
  </r>
  <r>
    <x v="49"/>
  </r>
  <r>
    <x v="42"/>
  </r>
  <r>
    <x v="49"/>
  </r>
  <r>
    <x v="50"/>
  </r>
  <r>
    <x v="51"/>
  </r>
  <r>
    <x v="30"/>
  </r>
  <r>
    <x v="45"/>
  </r>
  <r>
    <x v="52"/>
  </r>
  <r>
    <x v="30"/>
  </r>
  <r>
    <x v="41"/>
  </r>
  <r>
    <x v="53"/>
  </r>
  <r>
    <x v="54"/>
  </r>
  <r>
    <x v="8"/>
  </r>
  <r>
    <x v="55"/>
  </r>
  <r>
    <x v="56"/>
  </r>
  <r>
    <x v="5"/>
  </r>
  <r>
    <x v="57"/>
  </r>
  <r>
    <x v="18"/>
  </r>
  <r>
    <x v="49"/>
  </r>
  <r>
    <x v="58"/>
  </r>
  <r>
    <x v="59"/>
  </r>
  <r>
    <x v="60"/>
  </r>
  <r>
    <x v="41"/>
  </r>
  <r>
    <x v="59"/>
  </r>
  <r>
    <x v="61"/>
  </r>
  <r>
    <x v="62"/>
  </r>
  <r>
    <x v="63"/>
  </r>
  <r>
    <x v="64"/>
  </r>
  <r>
    <x v="54"/>
  </r>
  <r>
    <x v="12"/>
  </r>
  <r>
    <x v="65"/>
  </r>
  <r>
    <x v="66"/>
  </r>
  <r>
    <x v="18"/>
  </r>
  <r>
    <x v="19"/>
  </r>
  <r>
    <x v="67"/>
  </r>
  <r>
    <x v="68"/>
  </r>
  <r>
    <x v="22"/>
  </r>
  <r>
    <x v="69"/>
  </r>
  <r>
    <x v="69"/>
  </r>
  <r>
    <x v="70"/>
  </r>
  <r>
    <x v="24"/>
  </r>
  <r>
    <x v="2"/>
  </r>
  <r>
    <x v="19"/>
  </r>
  <r>
    <x v="20"/>
  </r>
  <r>
    <x v="22"/>
  </r>
  <r>
    <x v="71"/>
  </r>
  <r>
    <x v="72"/>
  </r>
  <r>
    <x v="18"/>
  </r>
  <r>
    <x v="23"/>
  </r>
  <r>
    <x v="73"/>
  </r>
  <r>
    <x v="74"/>
  </r>
  <r>
    <x v="42"/>
  </r>
  <r>
    <x v="75"/>
  </r>
  <r>
    <x v="43"/>
  </r>
  <r>
    <x v="73"/>
  </r>
  <r>
    <x v="1"/>
  </r>
  <r>
    <x v="69"/>
  </r>
  <r>
    <x v="69"/>
  </r>
  <r>
    <x v="23"/>
  </r>
  <r>
    <x v="19"/>
  </r>
  <r>
    <x v="76"/>
  </r>
  <r>
    <x v="77"/>
  </r>
  <r>
    <x v="78"/>
  </r>
  <r>
    <x v="18"/>
  </r>
  <r>
    <x v="70"/>
  </r>
  <r>
    <x v="48"/>
  </r>
  <r>
    <x v="26"/>
  </r>
  <r>
    <x v="53"/>
  </r>
  <r>
    <x v="42"/>
  </r>
  <r>
    <x v="79"/>
  </r>
  <r>
    <x v="76"/>
  </r>
  <r>
    <x v="53"/>
  </r>
  <r>
    <x v="61"/>
  </r>
  <r>
    <x v="80"/>
  </r>
  <r>
    <x v="81"/>
  </r>
  <r>
    <x v="82"/>
  </r>
  <r>
    <x v="82"/>
  </r>
  <r>
    <x v="82"/>
  </r>
  <r>
    <x v="60"/>
  </r>
  <r>
    <x v="43"/>
  </r>
  <r>
    <x v="77"/>
  </r>
  <r>
    <x v="53"/>
  </r>
  <r>
    <x v="83"/>
  </r>
  <r>
    <x v="70"/>
  </r>
  <r>
    <x v="37"/>
  </r>
  <r>
    <x v="84"/>
  </r>
  <r>
    <x v="53"/>
  </r>
  <r>
    <x v="53"/>
  </r>
  <r>
    <x v="64"/>
  </r>
  <r>
    <x v="42"/>
  </r>
  <r>
    <x v="85"/>
  </r>
  <r>
    <x v="44"/>
  </r>
  <r>
    <x v="59"/>
  </r>
  <r>
    <x v="59"/>
  </r>
  <r>
    <x v="86"/>
  </r>
  <r>
    <x v="86"/>
  </r>
  <r>
    <x v="71"/>
  </r>
  <r>
    <x v="87"/>
  </r>
  <r>
    <x v="88"/>
  </r>
  <r>
    <x v="89"/>
  </r>
  <r>
    <x v="84"/>
  </r>
  <r>
    <x v="84"/>
  </r>
  <r>
    <x v="84"/>
  </r>
  <r>
    <x v="84"/>
  </r>
  <r>
    <x v="12"/>
  </r>
  <r>
    <x v="78"/>
  </r>
  <r>
    <x v="76"/>
  </r>
  <r>
    <x v="19"/>
  </r>
  <r>
    <x v="3"/>
  </r>
  <r>
    <x v="82"/>
  </r>
  <r>
    <x v="82"/>
  </r>
  <r>
    <x v="83"/>
  </r>
  <r>
    <x v="54"/>
  </r>
  <r>
    <x v="90"/>
  </r>
  <r>
    <x v="91"/>
  </r>
  <r>
    <x v="92"/>
  </r>
  <r>
    <x v="93"/>
  </r>
  <r>
    <x v="93"/>
  </r>
  <r>
    <x v="94"/>
  </r>
  <r>
    <x v="94"/>
  </r>
  <r>
    <x v="94"/>
  </r>
  <r>
    <x v="82"/>
  </r>
  <r>
    <x v="60"/>
  </r>
  <r>
    <x v="53"/>
  </r>
  <r>
    <x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E61C1-777E-474D-82A9-FFD9932532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C16" firstHeaderRow="1" firstDataRow="1" firstDataCol="1"/>
  <pivotFields count="1">
    <pivotField name="Annual Salary (in £)" axis="axisRow" dataField="1" showAll="0">
      <items count="11">
        <item x="0"/>
        <item x="1"/>
        <item x="2"/>
        <item x="3"/>
        <item x="4"/>
        <item x="5"/>
        <item x="6"/>
        <item x="7"/>
        <item x="8"/>
        <item x="9"/>
        <item t="default"/>
      </items>
    </pivotField>
  </pivotFields>
  <rowFields count="1">
    <field x="0"/>
  </rowFields>
  <rowItems count="9">
    <i>
      <x v="1"/>
    </i>
    <i>
      <x v="2"/>
    </i>
    <i>
      <x v="3"/>
    </i>
    <i>
      <x v="4"/>
    </i>
    <i>
      <x v="5"/>
    </i>
    <i>
      <x v="6"/>
    </i>
    <i>
      <x v="7"/>
    </i>
    <i>
      <x v="8"/>
    </i>
    <i t="grand">
      <x/>
    </i>
  </rowItems>
  <colItems count="1">
    <i/>
  </colItems>
  <dataFields count="1">
    <dataField name="Count of Employees with that Annual Salary" fld="0" subtotal="count"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87"/>
  <sheetViews>
    <sheetView topLeftCell="A106" zoomScale="130" zoomScaleNormal="130" workbookViewId="0">
      <selection activeCell="E164" sqref="E164"/>
    </sheetView>
  </sheetViews>
  <sheetFormatPr defaultColWidth="12.54296875" defaultRowHeight="13" x14ac:dyDescent="0.3"/>
  <cols>
    <col min="1" max="1" width="12.54296875" style="1"/>
    <col min="2" max="5" width="15.453125" style="1" customWidth="1"/>
    <col min="6" max="7" width="15.1796875" style="2" customWidth="1"/>
    <col min="8" max="8" width="12.7265625" style="1" customWidth="1"/>
    <col min="9" max="9" width="15.453125" style="1" customWidth="1"/>
    <col min="10" max="10" width="17.1796875" style="1" customWidth="1"/>
    <col min="11" max="11" width="21.90625" style="1" customWidth="1"/>
    <col min="12" max="35" width="15.453125" style="1" customWidth="1"/>
    <col min="36" max="16384" width="12.54296875" style="1"/>
  </cols>
  <sheetData>
    <row r="1" spans="1:8" s="10" customFormat="1" ht="39" x14ac:dyDescent="0.25">
      <c r="A1" s="10" t="s">
        <v>27</v>
      </c>
      <c r="B1" s="9" t="s">
        <v>0</v>
      </c>
      <c r="C1" s="9" t="s">
        <v>1</v>
      </c>
      <c r="D1" s="9" t="s">
        <v>2</v>
      </c>
      <c r="E1" s="9" t="s">
        <v>3</v>
      </c>
      <c r="F1" s="9" t="s">
        <v>4</v>
      </c>
      <c r="G1" s="9" t="s">
        <v>5</v>
      </c>
      <c r="H1" s="9" t="s">
        <v>6</v>
      </c>
    </row>
    <row r="2" spans="1:8" x14ac:dyDescent="0.3">
      <c r="A2" s="1">
        <v>1</v>
      </c>
      <c r="B2" s="6">
        <v>66</v>
      </c>
      <c r="C2" s="1">
        <v>476</v>
      </c>
      <c r="D2" s="5" t="s">
        <v>7</v>
      </c>
      <c r="E2" s="1">
        <v>86000</v>
      </c>
      <c r="F2" s="4" t="s">
        <v>8</v>
      </c>
      <c r="G2" s="4" t="s">
        <v>9</v>
      </c>
      <c r="H2" s="5" t="s">
        <v>10</v>
      </c>
    </row>
    <row r="3" spans="1:8" x14ac:dyDescent="0.3">
      <c r="A3" s="1">
        <v>2</v>
      </c>
      <c r="B3" s="6">
        <v>65</v>
      </c>
      <c r="C3" s="1">
        <v>425</v>
      </c>
      <c r="D3" s="5" t="s">
        <v>7</v>
      </c>
      <c r="E3" s="1">
        <v>61000</v>
      </c>
      <c r="F3" s="8" t="s">
        <v>11</v>
      </c>
      <c r="G3" s="8" t="s">
        <v>12</v>
      </c>
      <c r="H3" s="5" t="s">
        <v>10</v>
      </c>
    </row>
    <row r="4" spans="1:8" x14ac:dyDescent="0.3">
      <c r="A4" s="1">
        <v>3</v>
      </c>
      <c r="B4" s="1">
        <v>50</v>
      </c>
      <c r="C4" s="1">
        <v>387</v>
      </c>
      <c r="D4" s="5" t="s">
        <v>13</v>
      </c>
      <c r="E4" s="1">
        <v>86000</v>
      </c>
      <c r="F4" s="8" t="s">
        <v>11</v>
      </c>
      <c r="G4" s="8" t="s">
        <v>12</v>
      </c>
      <c r="H4" s="5" t="s">
        <v>10</v>
      </c>
    </row>
    <row r="5" spans="1:8" x14ac:dyDescent="0.3">
      <c r="A5" s="1">
        <v>4</v>
      </c>
      <c r="B5" s="1">
        <v>50</v>
      </c>
      <c r="C5" s="1">
        <v>385</v>
      </c>
      <c r="D5" s="5" t="s">
        <v>13</v>
      </c>
      <c r="E5" s="1">
        <v>98000</v>
      </c>
      <c r="F5" s="2" t="s">
        <v>14</v>
      </c>
      <c r="G5" s="8" t="s">
        <v>12</v>
      </c>
      <c r="H5" s="7" t="s">
        <v>15</v>
      </c>
    </row>
    <row r="6" spans="1:8" x14ac:dyDescent="0.3">
      <c r="A6" s="1">
        <v>5</v>
      </c>
      <c r="B6" s="1">
        <v>50</v>
      </c>
      <c r="C6" s="1">
        <v>381</v>
      </c>
      <c r="D6" s="5" t="s">
        <v>7</v>
      </c>
      <c r="E6" s="1">
        <v>77000</v>
      </c>
      <c r="F6" s="4" t="s">
        <v>14</v>
      </c>
      <c r="G6" s="8" t="s">
        <v>12</v>
      </c>
      <c r="H6" s="7" t="s">
        <v>15</v>
      </c>
    </row>
    <row r="7" spans="1:8" x14ac:dyDescent="0.3">
      <c r="A7" s="1">
        <v>6</v>
      </c>
      <c r="B7" s="1">
        <v>46</v>
      </c>
      <c r="C7" s="1">
        <v>337</v>
      </c>
      <c r="D7" s="5" t="s">
        <v>7</v>
      </c>
      <c r="E7" s="1">
        <v>87500</v>
      </c>
      <c r="F7" s="7" t="s">
        <v>16</v>
      </c>
      <c r="G7" s="8" t="s">
        <v>12</v>
      </c>
      <c r="H7" s="7" t="s">
        <v>15</v>
      </c>
    </row>
    <row r="8" spans="1:8" x14ac:dyDescent="0.3">
      <c r="A8" s="1">
        <v>7</v>
      </c>
      <c r="B8" s="1">
        <v>53</v>
      </c>
      <c r="C8" s="1">
        <v>329</v>
      </c>
      <c r="D8" s="5" t="s">
        <v>7</v>
      </c>
      <c r="E8" s="1">
        <v>51500</v>
      </c>
      <c r="F8" s="2" t="s">
        <v>14</v>
      </c>
      <c r="G8" s="8" t="s">
        <v>12</v>
      </c>
      <c r="H8" s="7" t="s">
        <v>15</v>
      </c>
    </row>
    <row r="9" spans="1:8" x14ac:dyDescent="0.3">
      <c r="A9" s="1">
        <v>8</v>
      </c>
      <c r="B9" s="1">
        <v>44</v>
      </c>
      <c r="C9" s="1">
        <v>295</v>
      </c>
      <c r="D9" s="5" t="s">
        <v>7</v>
      </c>
      <c r="E9" s="1">
        <v>83500</v>
      </c>
      <c r="F9" s="4" t="s">
        <v>14</v>
      </c>
      <c r="G9" s="8" t="s">
        <v>12</v>
      </c>
      <c r="H9" s="7" t="s">
        <v>15</v>
      </c>
    </row>
    <row r="10" spans="1:8" x14ac:dyDescent="0.3">
      <c r="A10" s="1">
        <v>9</v>
      </c>
      <c r="B10" s="1">
        <v>42</v>
      </c>
      <c r="C10" s="1">
        <v>280</v>
      </c>
      <c r="D10" s="5" t="s">
        <v>7</v>
      </c>
      <c r="E10" s="1">
        <v>62000</v>
      </c>
      <c r="F10" s="4" t="s">
        <v>14</v>
      </c>
      <c r="G10" s="8" t="s">
        <v>17</v>
      </c>
      <c r="H10" s="7" t="s">
        <v>18</v>
      </c>
    </row>
    <row r="11" spans="1:8" x14ac:dyDescent="0.3">
      <c r="A11" s="1">
        <v>10</v>
      </c>
      <c r="B11" s="1">
        <v>40</v>
      </c>
      <c r="C11" s="1">
        <v>275</v>
      </c>
      <c r="D11" s="5" t="s">
        <v>7</v>
      </c>
      <c r="E11" s="1">
        <v>81000</v>
      </c>
      <c r="F11" s="4" t="s">
        <v>8</v>
      </c>
      <c r="G11" s="4" t="s">
        <v>9</v>
      </c>
      <c r="H11" s="5" t="s">
        <v>10</v>
      </c>
    </row>
    <row r="12" spans="1:8" x14ac:dyDescent="0.3">
      <c r="A12" s="1">
        <v>11</v>
      </c>
      <c r="B12" s="1">
        <v>51</v>
      </c>
      <c r="C12" s="1">
        <v>269</v>
      </c>
      <c r="D12" s="5" t="s">
        <v>7</v>
      </c>
      <c r="E12" s="1">
        <v>63000</v>
      </c>
      <c r="F12" s="2" t="s">
        <v>19</v>
      </c>
      <c r="G12" s="8" t="s">
        <v>12</v>
      </c>
      <c r="H12" s="5" t="s">
        <v>10</v>
      </c>
    </row>
    <row r="13" spans="1:8" x14ac:dyDescent="0.3">
      <c r="A13" s="1">
        <v>12</v>
      </c>
      <c r="B13" s="1">
        <v>51</v>
      </c>
      <c r="C13" s="1">
        <v>261</v>
      </c>
      <c r="D13" s="5" t="s">
        <v>7</v>
      </c>
      <c r="E13" s="1">
        <v>35000</v>
      </c>
      <c r="F13" s="7" t="s">
        <v>16</v>
      </c>
      <c r="G13" s="8" t="s">
        <v>12</v>
      </c>
      <c r="H13" s="7" t="s">
        <v>15</v>
      </c>
    </row>
    <row r="14" spans="1:8" x14ac:dyDescent="0.3">
      <c r="A14" s="1">
        <v>13</v>
      </c>
      <c r="B14" s="1">
        <v>41</v>
      </c>
      <c r="C14" s="1">
        <v>242</v>
      </c>
      <c r="D14" s="5" t="s">
        <v>13</v>
      </c>
      <c r="E14" s="1">
        <v>85000</v>
      </c>
      <c r="F14" s="4" t="s">
        <v>14</v>
      </c>
      <c r="G14" s="8" t="s">
        <v>17</v>
      </c>
      <c r="H14" s="7" t="s">
        <v>18</v>
      </c>
    </row>
    <row r="15" spans="1:8" x14ac:dyDescent="0.3">
      <c r="A15" s="1">
        <v>14</v>
      </c>
      <c r="B15" s="1">
        <v>46</v>
      </c>
      <c r="C15" s="1">
        <v>239</v>
      </c>
      <c r="D15" s="5" t="s">
        <v>7</v>
      </c>
      <c r="E15" s="1">
        <v>30500</v>
      </c>
      <c r="F15" s="4" t="s">
        <v>14</v>
      </c>
      <c r="G15" s="8" t="s">
        <v>17</v>
      </c>
      <c r="H15" s="5" t="s">
        <v>10</v>
      </c>
    </row>
    <row r="16" spans="1:8" x14ac:dyDescent="0.3">
      <c r="A16" s="1">
        <v>15</v>
      </c>
      <c r="B16" s="1">
        <v>38</v>
      </c>
      <c r="C16" s="1">
        <v>228</v>
      </c>
      <c r="D16" s="5" t="s">
        <v>7</v>
      </c>
      <c r="E16" s="1">
        <v>40000</v>
      </c>
      <c r="F16" s="4" t="s">
        <v>8</v>
      </c>
      <c r="G16" s="4" t="s">
        <v>9</v>
      </c>
      <c r="H16" s="7" t="s">
        <v>15</v>
      </c>
    </row>
    <row r="17" spans="1:8" x14ac:dyDescent="0.3">
      <c r="A17" s="1">
        <v>16</v>
      </c>
      <c r="B17" s="1">
        <v>47</v>
      </c>
      <c r="C17" s="1">
        <v>219</v>
      </c>
      <c r="D17" s="5" t="s">
        <v>7</v>
      </c>
      <c r="E17" s="1">
        <v>37500</v>
      </c>
      <c r="F17" s="8" t="s">
        <v>11</v>
      </c>
      <c r="G17" s="8" t="s">
        <v>12</v>
      </c>
      <c r="H17" s="5" t="s">
        <v>10</v>
      </c>
    </row>
    <row r="18" spans="1:8" x14ac:dyDescent="0.3">
      <c r="A18" s="1">
        <v>17</v>
      </c>
      <c r="B18" s="1">
        <v>48</v>
      </c>
      <c r="C18" s="1">
        <v>218</v>
      </c>
      <c r="D18" s="5" t="s">
        <v>7</v>
      </c>
      <c r="E18" s="1">
        <v>61000</v>
      </c>
      <c r="F18" s="4" t="s">
        <v>14</v>
      </c>
      <c r="G18" s="8" t="s">
        <v>12</v>
      </c>
      <c r="H18" s="7" t="s">
        <v>15</v>
      </c>
    </row>
    <row r="19" spans="1:8" x14ac:dyDescent="0.3">
      <c r="A19" s="1">
        <v>18</v>
      </c>
      <c r="B19" s="1">
        <v>39</v>
      </c>
      <c r="C19" s="1">
        <v>213</v>
      </c>
      <c r="D19" s="5" t="s">
        <v>7</v>
      </c>
      <c r="E19" s="1">
        <v>50500</v>
      </c>
      <c r="F19" s="4" t="s">
        <v>14</v>
      </c>
      <c r="G19" s="8" t="s">
        <v>12</v>
      </c>
      <c r="H19" s="7" t="s">
        <v>15</v>
      </c>
    </row>
    <row r="20" spans="1:8" x14ac:dyDescent="0.3">
      <c r="A20" s="1">
        <v>19</v>
      </c>
      <c r="B20" s="1">
        <v>39</v>
      </c>
      <c r="C20" s="1">
        <v>210</v>
      </c>
      <c r="D20" s="5" t="s">
        <v>7</v>
      </c>
      <c r="E20" s="1">
        <v>59000</v>
      </c>
      <c r="F20" s="2" t="s">
        <v>19</v>
      </c>
      <c r="G20" s="8" t="s">
        <v>17</v>
      </c>
      <c r="H20" s="5" t="s">
        <v>10</v>
      </c>
    </row>
    <row r="21" spans="1:8" x14ac:dyDescent="0.3">
      <c r="A21" s="1">
        <v>20</v>
      </c>
      <c r="B21" s="1">
        <v>35</v>
      </c>
      <c r="C21" s="1">
        <v>207</v>
      </c>
      <c r="D21" s="5" t="s">
        <v>7</v>
      </c>
      <c r="E21" s="1">
        <v>63000</v>
      </c>
      <c r="F21" s="2" t="s">
        <v>19</v>
      </c>
      <c r="G21" s="8" t="s">
        <v>12</v>
      </c>
      <c r="H21" s="5" t="s">
        <v>10</v>
      </c>
    </row>
    <row r="22" spans="1:8" x14ac:dyDescent="0.3">
      <c r="A22" s="1">
        <v>21</v>
      </c>
      <c r="B22" s="1">
        <v>44</v>
      </c>
      <c r="C22" s="1">
        <v>201</v>
      </c>
      <c r="D22" s="5" t="s">
        <v>7</v>
      </c>
      <c r="E22" s="1">
        <v>72500</v>
      </c>
      <c r="F22" s="7" t="s">
        <v>16</v>
      </c>
      <c r="G22" s="8" t="s">
        <v>12</v>
      </c>
      <c r="H22" s="7" t="s">
        <v>15</v>
      </c>
    </row>
    <row r="23" spans="1:8" x14ac:dyDescent="0.3">
      <c r="A23" s="1">
        <v>22</v>
      </c>
      <c r="B23" s="1">
        <v>43</v>
      </c>
      <c r="C23" s="1">
        <v>200</v>
      </c>
      <c r="D23" s="5" t="s">
        <v>7</v>
      </c>
      <c r="E23" s="1">
        <v>24500</v>
      </c>
      <c r="F23" s="4" t="s">
        <v>8</v>
      </c>
      <c r="G23" s="4" t="s">
        <v>9</v>
      </c>
      <c r="H23" s="7" t="s">
        <v>18</v>
      </c>
    </row>
    <row r="24" spans="1:8" x14ac:dyDescent="0.3">
      <c r="A24" s="1">
        <v>23</v>
      </c>
      <c r="B24" s="1">
        <v>50</v>
      </c>
      <c r="C24" s="1">
        <v>199</v>
      </c>
      <c r="D24" s="5" t="s">
        <v>7</v>
      </c>
      <c r="E24" s="1">
        <v>33500</v>
      </c>
      <c r="F24" s="4" t="s">
        <v>8</v>
      </c>
      <c r="G24" s="4" t="s">
        <v>9</v>
      </c>
      <c r="H24" s="7" t="s">
        <v>18</v>
      </c>
    </row>
    <row r="25" spans="1:8" x14ac:dyDescent="0.3">
      <c r="A25" s="1">
        <v>24</v>
      </c>
      <c r="B25" s="6">
        <v>60</v>
      </c>
      <c r="C25" s="1">
        <v>191</v>
      </c>
      <c r="D25" s="5" t="s">
        <v>13</v>
      </c>
      <c r="E25" s="1">
        <v>37500</v>
      </c>
      <c r="F25" s="8" t="s">
        <v>11</v>
      </c>
      <c r="G25" s="8" t="s">
        <v>12</v>
      </c>
      <c r="H25" s="5" t="s">
        <v>10</v>
      </c>
    </row>
    <row r="26" spans="1:8" x14ac:dyDescent="0.3">
      <c r="A26" s="1">
        <v>25</v>
      </c>
      <c r="B26" s="1">
        <v>36</v>
      </c>
      <c r="C26" s="1">
        <v>183</v>
      </c>
      <c r="D26" s="5" t="s">
        <v>7</v>
      </c>
      <c r="E26" s="1">
        <v>62500</v>
      </c>
      <c r="F26" s="8" t="s">
        <v>11</v>
      </c>
      <c r="G26" s="8" t="s">
        <v>12</v>
      </c>
      <c r="H26" s="5" t="s">
        <v>10</v>
      </c>
    </row>
    <row r="27" spans="1:8" x14ac:dyDescent="0.3">
      <c r="A27" s="1">
        <v>26</v>
      </c>
      <c r="B27" s="1">
        <v>36</v>
      </c>
      <c r="C27" s="1">
        <v>182</v>
      </c>
      <c r="D27" s="5" t="s">
        <v>7</v>
      </c>
      <c r="E27" s="1">
        <v>52000</v>
      </c>
      <c r="F27" s="8" t="s">
        <v>11</v>
      </c>
      <c r="G27" s="8" t="s">
        <v>12</v>
      </c>
      <c r="H27" s="5" t="s">
        <v>10</v>
      </c>
    </row>
    <row r="28" spans="1:8" x14ac:dyDescent="0.3">
      <c r="A28" s="1">
        <v>27</v>
      </c>
      <c r="B28" s="1">
        <v>34</v>
      </c>
      <c r="C28" s="1">
        <v>169</v>
      </c>
      <c r="D28" s="5" t="s">
        <v>13</v>
      </c>
      <c r="E28" s="1">
        <v>31000</v>
      </c>
      <c r="F28" s="4" t="s">
        <v>20</v>
      </c>
      <c r="G28" s="4" t="s">
        <v>21</v>
      </c>
      <c r="H28" s="7" t="s">
        <v>15</v>
      </c>
    </row>
    <row r="29" spans="1:8" x14ac:dyDescent="0.3">
      <c r="A29" s="1">
        <v>28</v>
      </c>
      <c r="B29" s="1">
        <v>31</v>
      </c>
      <c r="C29" s="1">
        <v>163</v>
      </c>
      <c r="D29" s="5" t="s">
        <v>22</v>
      </c>
      <c r="E29" s="1">
        <v>32000</v>
      </c>
      <c r="F29" s="4" t="s">
        <v>20</v>
      </c>
      <c r="G29" s="4" t="s">
        <v>21</v>
      </c>
      <c r="H29" s="7" t="s">
        <v>15</v>
      </c>
    </row>
    <row r="30" spans="1:8" x14ac:dyDescent="0.3">
      <c r="A30" s="1">
        <v>29</v>
      </c>
      <c r="B30" s="1">
        <v>31</v>
      </c>
      <c r="C30" s="1">
        <v>160</v>
      </c>
      <c r="D30" s="5" t="s">
        <v>7</v>
      </c>
      <c r="E30" s="1">
        <v>76000</v>
      </c>
      <c r="F30" s="4" t="s">
        <v>14</v>
      </c>
      <c r="G30" s="8" t="s">
        <v>12</v>
      </c>
      <c r="H30" s="5" t="s">
        <v>10</v>
      </c>
    </row>
    <row r="31" spans="1:8" x14ac:dyDescent="0.3">
      <c r="A31" s="1">
        <v>30</v>
      </c>
      <c r="B31" s="1">
        <v>51</v>
      </c>
      <c r="C31" s="1">
        <v>159</v>
      </c>
      <c r="D31" s="5" t="s">
        <v>7</v>
      </c>
      <c r="E31" s="1">
        <v>83000</v>
      </c>
      <c r="F31" s="8" t="s">
        <v>11</v>
      </c>
      <c r="G31" s="8" t="s">
        <v>12</v>
      </c>
      <c r="H31" s="5" t="s">
        <v>10</v>
      </c>
    </row>
    <row r="32" spans="1:8" x14ac:dyDescent="0.3">
      <c r="A32" s="1">
        <v>31</v>
      </c>
      <c r="B32" s="1">
        <v>34</v>
      </c>
      <c r="C32" s="1">
        <v>155</v>
      </c>
      <c r="D32" s="5" t="s">
        <v>7</v>
      </c>
      <c r="E32" s="1">
        <v>70500</v>
      </c>
      <c r="F32" s="4" t="s">
        <v>14</v>
      </c>
      <c r="G32" s="8" t="s">
        <v>12</v>
      </c>
      <c r="H32" s="7" t="s">
        <v>15</v>
      </c>
    </row>
    <row r="33" spans="1:8" x14ac:dyDescent="0.3">
      <c r="A33" s="1">
        <v>32</v>
      </c>
      <c r="B33" s="1">
        <v>41</v>
      </c>
      <c r="C33" s="1">
        <v>149</v>
      </c>
      <c r="D33" s="5" t="s">
        <v>7</v>
      </c>
      <c r="E33" s="1">
        <v>70000</v>
      </c>
      <c r="F33" s="8" t="s">
        <v>11</v>
      </c>
      <c r="G33" s="8" t="s">
        <v>12</v>
      </c>
      <c r="H33" s="5" t="s">
        <v>10</v>
      </c>
    </row>
    <row r="34" spans="1:8" x14ac:dyDescent="0.3">
      <c r="A34" s="1">
        <v>33</v>
      </c>
      <c r="B34" s="1">
        <v>36</v>
      </c>
      <c r="C34" s="1">
        <v>148</v>
      </c>
      <c r="D34" s="5" t="s">
        <v>7</v>
      </c>
      <c r="E34" s="1">
        <v>91000</v>
      </c>
      <c r="F34" s="4" t="s">
        <v>8</v>
      </c>
      <c r="G34" s="4" t="s">
        <v>9</v>
      </c>
      <c r="H34" s="7" t="s">
        <v>15</v>
      </c>
    </row>
    <row r="35" spans="1:8" x14ac:dyDescent="0.3">
      <c r="A35" s="1">
        <v>34</v>
      </c>
      <c r="B35" s="1">
        <v>53</v>
      </c>
      <c r="C35" s="1">
        <v>136</v>
      </c>
      <c r="D35" s="5" t="s">
        <v>7</v>
      </c>
      <c r="E35" s="1">
        <v>66000</v>
      </c>
      <c r="F35" s="2" t="s">
        <v>19</v>
      </c>
      <c r="G35" s="8" t="s">
        <v>17</v>
      </c>
      <c r="H35" s="7" t="s">
        <v>15</v>
      </c>
    </row>
    <row r="36" spans="1:8" x14ac:dyDescent="0.3">
      <c r="A36" s="1">
        <v>35</v>
      </c>
      <c r="B36" s="1">
        <v>38</v>
      </c>
      <c r="C36" s="1">
        <v>130</v>
      </c>
      <c r="D36" s="5" t="s">
        <v>13</v>
      </c>
      <c r="E36" s="1">
        <v>43000</v>
      </c>
      <c r="F36" s="2" t="s">
        <v>19</v>
      </c>
      <c r="G36" s="8" t="s">
        <v>17</v>
      </c>
      <c r="H36" s="7" t="s">
        <v>15</v>
      </c>
    </row>
    <row r="37" spans="1:8" x14ac:dyDescent="0.3">
      <c r="A37" s="1">
        <v>36</v>
      </c>
      <c r="B37" s="1">
        <v>54</v>
      </c>
      <c r="C37" s="1">
        <v>129</v>
      </c>
      <c r="D37" s="5" t="s">
        <v>7</v>
      </c>
      <c r="E37" s="1">
        <v>63500</v>
      </c>
      <c r="F37" s="2" t="s">
        <v>19</v>
      </c>
      <c r="G37" s="8" t="s">
        <v>12</v>
      </c>
      <c r="H37" s="7" t="s">
        <v>15</v>
      </c>
    </row>
    <row r="38" spans="1:8" x14ac:dyDescent="0.3">
      <c r="A38" s="1">
        <v>37</v>
      </c>
      <c r="B38" s="1">
        <v>44</v>
      </c>
      <c r="C38" s="1">
        <v>128</v>
      </c>
      <c r="D38" s="5" t="s">
        <v>7</v>
      </c>
      <c r="E38" s="1">
        <v>67500</v>
      </c>
      <c r="F38" s="4" t="s">
        <v>8</v>
      </c>
      <c r="G38" s="4" t="s">
        <v>9</v>
      </c>
      <c r="H38" s="7" t="s">
        <v>15</v>
      </c>
    </row>
    <row r="39" spans="1:8" x14ac:dyDescent="0.3">
      <c r="A39" s="1">
        <v>38</v>
      </c>
      <c r="B39" s="1">
        <v>46</v>
      </c>
      <c r="C39" s="1">
        <v>128</v>
      </c>
      <c r="D39" s="5" t="s">
        <v>7</v>
      </c>
      <c r="E39" s="1">
        <v>68500</v>
      </c>
      <c r="F39" s="4" t="s">
        <v>8</v>
      </c>
      <c r="G39" s="4" t="s">
        <v>9</v>
      </c>
      <c r="H39" s="7" t="s">
        <v>15</v>
      </c>
    </row>
    <row r="40" spans="1:8" x14ac:dyDescent="0.3">
      <c r="A40" s="1">
        <v>39</v>
      </c>
      <c r="B40" s="1">
        <v>36</v>
      </c>
      <c r="C40" s="1">
        <v>127</v>
      </c>
      <c r="D40" s="5" t="s">
        <v>13</v>
      </c>
      <c r="E40" s="1">
        <v>74500</v>
      </c>
      <c r="F40" s="4" t="s">
        <v>14</v>
      </c>
      <c r="G40" s="8" t="s">
        <v>17</v>
      </c>
      <c r="H40" s="5" t="s">
        <v>10</v>
      </c>
    </row>
    <row r="41" spans="1:8" x14ac:dyDescent="0.3">
      <c r="A41" s="1">
        <v>40</v>
      </c>
      <c r="B41" s="1">
        <v>34</v>
      </c>
      <c r="C41" s="1">
        <v>117</v>
      </c>
      <c r="D41" s="5" t="s">
        <v>13</v>
      </c>
      <c r="E41" s="1">
        <v>48000</v>
      </c>
      <c r="F41" s="7" t="s">
        <v>16</v>
      </c>
      <c r="G41" s="8" t="s">
        <v>12</v>
      </c>
      <c r="H41" s="5" t="s">
        <v>10</v>
      </c>
    </row>
    <row r="42" spans="1:8" x14ac:dyDescent="0.3">
      <c r="A42" s="1">
        <v>41</v>
      </c>
      <c r="B42" s="1">
        <v>38</v>
      </c>
      <c r="C42" s="1">
        <v>116</v>
      </c>
      <c r="D42" s="5" t="s">
        <v>7</v>
      </c>
      <c r="E42" s="1">
        <v>80500</v>
      </c>
      <c r="F42" s="2" t="s">
        <v>16</v>
      </c>
      <c r="G42" s="8" t="s">
        <v>12</v>
      </c>
      <c r="H42" s="5" t="s">
        <v>10</v>
      </c>
    </row>
    <row r="43" spans="1:8" x14ac:dyDescent="0.3">
      <c r="A43" s="1">
        <v>42</v>
      </c>
      <c r="B43" s="1">
        <v>45</v>
      </c>
      <c r="C43" s="1">
        <v>114</v>
      </c>
      <c r="D43" s="5" t="s">
        <v>7</v>
      </c>
      <c r="E43" s="1">
        <v>33500</v>
      </c>
      <c r="F43" s="4" t="s">
        <v>14</v>
      </c>
      <c r="G43" s="8" t="s">
        <v>12</v>
      </c>
      <c r="H43" s="5" t="s">
        <v>10</v>
      </c>
    </row>
    <row r="44" spans="1:8" x14ac:dyDescent="0.3">
      <c r="A44" s="1">
        <v>43</v>
      </c>
      <c r="B44" s="1">
        <v>30</v>
      </c>
      <c r="C44" s="1">
        <v>114</v>
      </c>
      <c r="D44" s="5" t="s">
        <v>7</v>
      </c>
      <c r="E44" s="1">
        <v>38500</v>
      </c>
      <c r="F44" s="4" t="s">
        <v>14</v>
      </c>
      <c r="G44" s="8" t="s">
        <v>12</v>
      </c>
      <c r="H44" s="7" t="s">
        <v>15</v>
      </c>
    </row>
    <row r="45" spans="1:8" x14ac:dyDescent="0.3">
      <c r="A45" s="1">
        <v>44</v>
      </c>
      <c r="B45" s="1">
        <v>34</v>
      </c>
      <c r="C45" s="1">
        <v>106</v>
      </c>
      <c r="D45" s="5" t="s">
        <v>7</v>
      </c>
      <c r="E45" s="1">
        <v>48500</v>
      </c>
      <c r="F45" s="4" t="s">
        <v>14</v>
      </c>
      <c r="G45" s="8" t="s">
        <v>12</v>
      </c>
      <c r="H45" s="7" t="s">
        <v>15</v>
      </c>
    </row>
    <row r="46" spans="1:8" x14ac:dyDescent="0.3">
      <c r="A46" s="1">
        <v>45</v>
      </c>
      <c r="B46" s="1">
        <v>26</v>
      </c>
      <c r="C46" s="1">
        <v>102</v>
      </c>
      <c r="D46" s="5" t="s">
        <v>7</v>
      </c>
      <c r="E46" s="1">
        <v>43500</v>
      </c>
      <c r="F46" s="2" t="s">
        <v>19</v>
      </c>
      <c r="G46" s="8" t="s">
        <v>12</v>
      </c>
      <c r="H46" s="7" t="s">
        <v>15</v>
      </c>
    </row>
    <row r="47" spans="1:8" x14ac:dyDescent="0.3">
      <c r="A47" s="1">
        <v>46</v>
      </c>
      <c r="B47" s="1">
        <v>35</v>
      </c>
      <c r="C47" s="1">
        <v>102</v>
      </c>
      <c r="D47" s="5" t="s">
        <v>7</v>
      </c>
      <c r="E47" s="1">
        <v>70500</v>
      </c>
      <c r="F47" s="2" t="s">
        <v>19</v>
      </c>
      <c r="G47" s="8" t="s">
        <v>12</v>
      </c>
      <c r="H47" s="5" t="s">
        <v>10</v>
      </c>
    </row>
    <row r="48" spans="1:8" x14ac:dyDescent="0.3">
      <c r="A48" s="1">
        <v>47</v>
      </c>
      <c r="B48" s="1">
        <v>35</v>
      </c>
      <c r="C48" s="1">
        <v>101</v>
      </c>
      <c r="D48" s="5" t="s">
        <v>13</v>
      </c>
      <c r="E48" s="1">
        <v>71000</v>
      </c>
      <c r="F48" s="4" t="s">
        <v>14</v>
      </c>
      <c r="G48" s="8" t="s">
        <v>12</v>
      </c>
      <c r="H48" s="5" t="s">
        <v>10</v>
      </c>
    </row>
    <row r="49" spans="1:8" x14ac:dyDescent="0.3">
      <c r="A49" s="1">
        <v>48</v>
      </c>
      <c r="B49" s="1">
        <v>41</v>
      </c>
      <c r="C49" s="1">
        <v>99</v>
      </c>
      <c r="D49" s="5" t="s">
        <v>7</v>
      </c>
      <c r="E49" s="1">
        <v>44000</v>
      </c>
      <c r="F49" s="4" t="s">
        <v>14</v>
      </c>
      <c r="G49" s="8" t="s">
        <v>12</v>
      </c>
      <c r="H49" s="5" t="s">
        <v>10</v>
      </c>
    </row>
    <row r="50" spans="1:8" x14ac:dyDescent="0.3">
      <c r="A50" s="1">
        <v>49</v>
      </c>
      <c r="B50" s="1">
        <v>25</v>
      </c>
      <c r="C50" s="1">
        <v>95</v>
      </c>
      <c r="D50" s="5" t="s">
        <v>13</v>
      </c>
      <c r="E50" s="1">
        <v>63000</v>
      </c>
      <c r="F50" s="2" t="s">
        <v>19</v>
      </c>
      <c r="G50" s="8" t="s">
        <v>12</v>
      </c>
      <c r="H50" s="7" t="s">
        <v>15</v>
      </c>
    </row>
    <row r="51" spans="1:8" x14ac:dyDescent="0.3">
      <c r="A51" s="1">
        <v>50</v>
      </c>
      <c r="B51" s="1">
        <v>32</v>
      </c>
      <c r="C51" s="1">
        <v>93</v>
      </c>
      <c r="D51" s="5" t="s">
        <v>13</v>
      </c>
      <c r="E51" s="1">
        <v>29500</v>
      </c>
      <c r="F51" s="2" t="s">
        <v>19</v>
      </c>
      <c r="G51" s="8" t="s">
        <v>12</v>
      </c>
      <c r="H51" s="7" t="s">
        <v>15</v>
      </c>
    </row>
    <row r="52" spans="1:8" x14ac:dyDescent="0.3">
      <c r="A52" s="1">
        <v>51</v>
      </c>
      <c r="B52" s="1">
        <v>34</v>
      </c>
      <c r="C52" s="1">
        <v>93</v>
      </c>
      <c r="D52" s="5" t="s">
        <v>7</v>
      </c>
      <c r="E52" s="1">
        <v>60500</v>
      </c>
      <c r="F52" s="4" t="s">
        <v>14</v>
      </c>
      <c r="G52" s="8" t="s">
        <v>12</v>
      </c>
      <c r="H52" s="7" t="s">
        <v>15</v>
      </c>
    </row>
    <row r="53" spans="1:8" x14ac:dyDescent="0.3">
      <c r="A53" s="1">
        <v>52</v>
      </c>
      <c r="B53" s="1">
        <v>26</v>
      </c>
      <c r="C53" s="1">
        <v>87</v>
      </c>
      <c r="D53" s="5" t="s">
        <v>7</v>
      </c>
      <c r="E53" s="1">
        <v>24500</v>
      </c>
      <c r="F53" s="7" t="s">
        <v>16</v>
      </c>
      <c r="G53" s="8" t="s">
        <v>12</v>
      </c>
      <c r="H53" s="7" t="s">
        <v>15</v>
      </c>
    </row>
    <row r="54" spans="1:8" x14ac:dyDescent="0.3">
      <c r="A54" s="1">
        <v>53</v>
      </c>
      <c r="B54" s="1">
        <v>43</v>
      </c>
      <c r="C54" s="1">
        <v>87</v>
      </c>
      <c r="D54" s="5" t="s">
        <v>7</v>
      </c>
      <c r="E54" s="1">
        <v>93500</v>
      </c>
      <c r="F54" s="4" t="s">
        <v>14</v>
      </c>
      <c r="G54" s="8" t="s">
        <v>17</v>
      </c>
      <c r="H54" s="5" t="s">
        <v>10</v>
      </c>
    </row>
    <row r="55" spans="1:8" x14ac:dyDescent="0.3">
      <c r="A55" s="1">
        <v>54</v>
      </c>
      <c r="B55" s="1">
        <v>30</v>
      </c>
      <c r="C55" s="1">
        <v>86</v>
      </c>
      <c r="D55" s="5" t="s">
        <v>7</v>
      </c>
      <c r="E55" s="1">
        <v>74000</v>
      </c>
      <c r="F55" s="2" t="s">
        <v>14</v>
      </c>
      <c r="G55" s="8" t="s">
        <v>12</v>
      </c>
      <c r="H55" s="5" t="s">
        <v>10</v>
      </c>
    </row>
    <row r="56" spans="1:8" x14ac:dyDescent="0.3">
      <c r="A56" s="1">
        <v>55</v>
      </c>
      <c r="B56" s="1">
        <v>33</v>
      </c>
      <c r="C56" s="1">
        <v>83</v>
      </c>
      <c r="D56" s="5" t="s">
        <v>7</v>
      </c>
      <c r="E56" s="1">
        <v>31500</v>
      </c>
      <c r="F56" s="2" t="s">
        <v>23</v>
      </c>
      <c r="G56" s="8" t="s">
        <v>12</v>
      </c>
      <c r="H56" s="7" t="s">
        <v>15</v>
      </c>
    </row>
    <row r="57" spans="1:8" x14ac:dyDescent="0.3">
      <c r="A57" s="1">
        <v>56</v>
      </c>
      <c r="B57" s="1">
        <v>25</v>
      </c>
      <c r="C57" s="1">
        <v>83</v>
      </c>
      <c r="D57" s="1" t="s">
        <v>13</v>
      </c>
      <c r="E57" s="1">
        <v>48000</v>
      </c>
      <c r="F57" s="4" t="s">
        <v>8</v>
      </c>
      <c r="G57" s="4" t="s">
        <v>9</v>
      </c>
      <c r="H57" s="5" t="s">
        <v>10</v>
      </c>
    </row>
    <row r="58" spans="1:8" x14ac:dyDescent="0.3">
      <c r="A58" s="1">
        <v>57</v>
      </c>
      <c r="B58" s="1">
        <v>35</v>
      </c>
      <c r="C58" s="1">
        <v>83</v>
      </c>
      <c r="D58" s="5" t="s">
        <v>7</v>
      </c>
      <c r="E58" s="1">
        <v>94500</v>
      </c>
      <c r="F58" s="7" t="s">
        <v>16</v>
      </c>
      <c r="G58" s="8" t="s">
        <v>12</v>
      </c>
      <c r="H58" s="7" t="s">
        <v>15</v>
      </c>
    </row>
    <row r="59" spans="1:8" x14ac:dyDescent="0.3">
      <c r="A59" s="1">
        <v>58</v>
      </c>
      <c r="B59" s="1">
        <v>39</v>
      </c>
      <c r="C59" s="1">
        <v>75</v>
      </c>
      <c r="D59" s="5" t="s">
        <v>13</v>
      </c>
      <c r="E59" s="1">
        <v>44000</v>
      </c>
      <c r="F59" s="4" t="s">
        <v>8</v>
      </c>
      <c r="G59" s="4" t="s">
        <v>9</v>
      </c>
      <c r="H59" s="5" t="s">
        <v>10</v>
      </c>
    </row>
    <row r="60" spans="1:8" x14ac:dyDescent="0.3">
      <c r="A60" s="1">
        <v>59</v>
      </c>
      <c r="B60" s="1">
        <v>41</v>
      </c>
      <c r="C60" s="1">
        <v>70</v>
      </c>
      <c r="D60" s="5" t="s">
        <v>7</v>
      </c>
      <c r="E60" s="1">
        <v>33000</v>
      </c>
      <c r="F60" s="4" t="s">
        <v>14</v>
      </c>
      <c r="G60" s="8" t="s">
        <v>12</v>
      </c>
      <c r="H60" s="7" t="s">
        <v>15</v>
      </c>
    </row>
    <row r="61" spans="1:8" x14ac:dyDescent="0.3">
      <c r="A61" s="1">
        <v>60</v>
      </c>
      <c r="B61" s="1">
        <v>34</v>
      </c>
      <c r="C61" s="1">
        <v>69</v>
      </c>
      <c r="D61" s="1" t="s">
        <v>13</v>
      </c>
      <c r="E61" s="1">
        <v>79000</v>
      </c>
      <c r="F61" s="4" t="s">
        <v>8</v>
      </c>
      <c r="G61" s="4" t="s">
        <v>9</v>
      </c>
      <c r="H61" s="5" t="s">
        <v>10</v>
      </c>
    </row>
    <row r="62" spans="1:8" x14ac:dyDescent="0.3">
      <c r="A62" s="1">
        <v>61</v>
      </c>
      <c r="B62" s="1">
        <v>23</v>
      </c>
      <c r="C62" s="1">
        <v>68</v>
      </c>
      <c r="D62" s="5" t="s">
        <v>7</v>
      </c>
      <c r="E62" s="1">
        <v>29500</v>
      </c>
      <c r="F62" s="4" t="s">
        <v>14</v>
      </c>
      <c r="G62" s="8" t="s">
        <v>12</v>
      </c>
      <c r="H62" s="5" t="s">
        <v>10</v>
      </c>
    </row>
    <row r="63" spans="1:8" x14ac:dyDescent="0.3">
      <c r="A63" s="1">
        <v>62</v>
      </c>
      <c r="B63" s="1">
        <v>28</v>
      </c>
      <c r="C63" s="1">
        <v>65</v>
      </c>
      <c r="D63" s="5" t="s">
        <v>7</v>
      </c>
      <c r="E63" s="1">
        <v>79000</v>
      </c>
      <c r="F63" s="4" t="s">
        <v>14</v>
      </c>
      <c r="G63" s="8" t="s">
        <v>12</v>
      </c>
      <c r="H63" s="7" t="s">
        <v>15</v>
      </c>
    </row>
    <row r="64" spans="1:8" x14ac:dyDescent="0.3">
      <c r="A64" s="1">
        <v>63</v>
      </c>
      <c r="B64" s="1">
        <v>50</v>
      </c>
      <c r="C64" s="1">
        <v>64</v>
      </c>
      <c r="D64" s="5" t="s">
        <v>7</v>
      </c>
      <c r="E64" s="1">
        <v>96500</v>
      </c>
      <c r="F64" s="4" t="s">
        <v>8</v>
      </c>
      <c r="G64" s="4" t="s">
        <v>9</v>
      </c>
      <c r="H64" s="5" t="s">
        <v>10</v>
      </c>
    </row>
    <row r="65" spans="1:8" x14ac:dyDescent="0.3">
      <c r="A65" s="1">
        <v>64</v>
      </c>
      <c r="B65" s="1">
        <v>26</v>
      </c>
      <c r="C65" s="1">
        <v>63</v>
      </c>
      <c r="D65" s="5" t="s">
        <v>13</v>
      </c>
      <c r="E65" s="1">
        <v>42000</v>
      </c>
      <c r="F65" s="4" t="s">
        <v>8</v>
      </c>
      <c r="G65" s="4" t="s">
        <v>9</v>
      </c>
      <c r="H65" s="5" t="s">
        <v>10</v>
      </c>
    </row>
    <row r="66" spans="1:8" x14ac:dyDescent="0.3">
      <c r="A66" s="1">
        <v>65</v>
      </c>
      <c r="B66" s="1">
        <v>40</v>
      </c>
      <c r="C66" s="1">
        <v>63</v>
      </c>
      <c r="D66" s="1" t="s">
        <v>13</v>
      </c>
      <c r="E66" s="1">
        <v>43000</v>
      </c>
      <c r="F66" s="4" t="s">
        <v>14</v>
      </c>
      <c r="G66" s="8" t="s">
        <v>12</v>
      </c>
      <c r="H66" s="7" t="s">
        <v>15</v>
      </c>
    </row>
    <row r="67" spans="1:8" x14ac:dyDescent="0.3">
      <c r="A67" s="1">
        <v>66</v>
      </c>
      <c r="B67" s="1">
        <v>27</v>
      </c>
      <c r="C67" s="1">
        <v>63</v>
      </c>
      <c r="D67" s="5" t="s">
        <v>7</v>
      </c>
      <c r="E67" s="1">
        <v>74000</v>
      </c>
      <c r="F67" s="7" t="s">
        <v>16</v>
      </c>
      <c r="G67" s="8" t="s">
        <v>12</v>
      </c>
      <c r="H67" s="7" t="s">
        <v>15</v>
      </c>
    </row>
    <row r="68" spans="1:8" x14ac:dyDescent="0.3">
      <c r="A68" s="1">
        <v>67</v>
      </c>
      <c r="B68" s="1">
        <v>23</v>
      </c>
      <c r="C68" s="1">
        <v>62</v>
      </c>
      <c r="D68" s="5" t="s">
        <v>7</v>
      </c>
      <c r="E68" s="1">
        <v>41500</v>
      </c>
      <c r="F68" s="4" t="s">
        <v>14</v>
      </c>
      <c r="G68" s="8" t="s">
        <v>12</v>
      </c>
      <c r="H68" s="7" t="s">
        <v>15</v>
      </c>
    </row>
    <row r="69" spans="1:8" x14ac:dyDescent="0.3">
      <c r="A69" s="1">
        <v>68</v>
      </c>
      <c r="B69" s="1">
        <v>26</v>
      </c>
      <c r="C69" s="1">
        <v>62</v>
      </c>
      <c r="D69" s="5" t="s">
        <v>7</v>
      </c>
      <c r="E69" s="1">
        <v>43000</v>
      </c>
      <c r="F69" s="2" t="s">
        <v>14</v>
      </c>
      <c r="G69" s="8" t="s">
        <v>12</v>
      </c>
      <c r="H69" s="5" t="s">
        <v>10</v>
      </c>
    </row>
    <row r="70" spans="1:8" x14ac:dyDescent="0.3">
      <c r="A70" s="1">
        <v>69</v>
      </c>
      <c r="B70" s="1">
        <v>23</v>
      </c>
      <c r="C70" s="1">
        <v>62</v>
      </c>
      <c r="D70" s="5" t="s">
        <v>13</v>
      </c>
      <c r="E70" s="1">
        <v>44000</v>
      </c>
      <c r="F70" s="4" t="s">
        <v>8</v>
      </c>
      <c r="G70" s="4" t="s">
        <v>9</v>
      </c>
      <c r="H70" s="5" t="s">
        <v>10</v>
      </c>
    </row>
    <row r="71" spans="1:8" x14ac:dyDescent="0.3">
      <c r="A71" s="1">
        <v>70</v>
      </c>
      <c r="B71" s="1">
        <v>26</v>
      </c>
      <c r="C71" s="1">
        <v>60</v>
      </c>
      <c r="D71" s="5" t="s">
        <v>7</v>
      </c>
      <c r="E71" s="1">
        <v>24000</v>
      </c>
      <c r="F71" s="4" t="s">
        <v>14</v>
      </c>
      <c r="G71" s="8" t="s">
        <v>12</v>
      </c>
      <c r="H71" s="7" t="s">
        <v>18</v>
      </c>
    </row>
    <row r="72" spans="1:8" x14ac:dyDescent="0.3">
      <c r="A72" s="1">
        <v>71</v>
      </c>
      <c r="B72" s="1">
        <v>22</v>
      </c>
      <c r="C72" s="1">
        <v>60</v>
      </c>
      <c r="D72" s="5" t="s">
        <v>7</v>
      </c>
      <c r="E72" s="1">
        <v>32500</v>
      </c>
      <c r="F72" s="4" t="s">
        <v>8</v>
      </c>
      <c r="G72" s="4" t="s">
        <v>9</v>
      </c>
      <c r="H72" s="5" t="s">
        <v>10</v>
      </c>
    </row>
    <row r="73" spans="1:8" x14ac:dyDescent="0.3">
      <c r="A73" s="1">
        <v>72</v>
      </c>
      <c r="B73" s="1">
        <v>24</v>
      </c>
      <c r="C73" s="1">
        <v>58</v>
      </c>
      <c r="D73" s="5" t="s">
        <v>7</v>
      </c>
      <c r="E73" s="1">
        <v>81000</v>
      </c>
      <c r="F73" s="4" t="s">
        <v>8</v>
      </c>
      <c r="G73" s="4" t="s">
        <v>9</v>
      </c>
      <c r="H73" s="5" t="s">
        <v>10</v>
      </c>
    </row>
    <row r="74" spans="1:8" x14ac:dyDescent="0.3">
      <c r="A74" s="1">
        <v>73</v>
      </c>
      <c r="B74" s="1">
        <v>30</v>
      </c>
      <c r="C74" s="1">
        <v>57</v>
      </c>
      <c r="D74" s="5" t="s">
        <v>13</v>
      </c>
      <c r="E74" s="1">
        <v>56000</v>
      </c>
      <c r="F74" s="4" t="s">
        <v>8</v>
      </c>
      <c r="G74" s="4" t="s">
        <v>9</v>
      </c>
      <c r="H74" s="7" t="s">
        <v>18</v>
      </c>
    </row>
    <row r="75" spans="1:8" x14ac:dyDescent="0.3">
      <c r="A75" s="1">
        <v>74</v>
      </c>
      <c r="B75" s="1">
        <v>34</v>
      </c>
      <c r="C75" s="1">
        <v>57</v>
      </c>
      <c r="D75" s="5" t="s">
        <v>7</v>
      </c>
      <c r="E75" s="1">
        <v>82000</v>
      </c>
      <c r="F75" s="7" t="s">
        <v>16</v>
      </c>
      <c r="G75" s="8" t="s">
        <v>12</v>
      </c>
      <c r="H75" s="7" t="s">
        <v>18</v>
      </c>
    </row>
    <row r="76" spans="1:8" x14ac:dyDescent="0.3">
      <c r="A76" s="1">
        <v>75</v>
      </c>
      <c r="B76" s="1">
        <v>28</v>
      </c>
      <c r="C76" s="1">
        <v>56</v>
      </c>
      <c r="D76" s="5" t="s">
        <v>7</v>
      </c>
      <c r="E76" s="1">
        <v>51500</v>
      </c>
      <c r="F76" s="2" t="s">
        <v>14</v>
      </c>
      <c r="G76" s="8" t="s">
        <v>17</v>
      </c>
      <c r="H76" s="7" t="s">
        <v>15</v>
      </c>
    </row>
    <row r="77" spans="1:8" x14ac:dyDescent="0.3">
      <c r="A77" s="1">
        <v>76</v>
      </c>
      <c r="B77" s="1">
        <v>43</v>
      </c>
      <c r="C77" s="1">
        <v>56</v>
      </c>
      <c r="D77" s="5" t="s">
        <v>7</v>
      </c>
      <c r="E77" s="1">
        <v>89000</v>
      </c>
      <c r="F77" s="8" t="s">
        <v>11</v>
      </c>
      <c r="G77" s="8" t="s">
        <v>12</v>
      </c>
      <c r="H77" s="5" t="s">
        <v>10</v>
      </c>
    </row>
    <row r="78" spans="1:8" x14ac:dyDescent="0.3">
      <c r="A78" s="1">
        <v>77</v>
      </c>
      <c r="B78" s="1">
        <v>32</v>
      </c>
      <c r="C78" s="1">
        <v>55</v>
      </c>
      <c r="D78" s="5" t="s">
        <v>7</v>
      </c>
      <c r="E78" s="1">
        <v>24500</v>
      </c>
      <c r="F78" s="2" t="s">
        <v>19</v>
      </c>
      <c r="G78" s="8" t="s">
        <v>12</v>
      </c>
      <c r="H78" s="7" t="s">
        <v>15</v>
      </c>
    </row>
    <row r="79" spans="1:8" x14ac:dyDescent="0.3">
      <c r="A79" s="1">
        <v>78</v>
      </c>
      <c r="B79" s="1">
        <v>25</v>
      </c>
      <c r="C79" s="1">
        <v>54</v>
      </c>
      <c r="D79" s="5" t="s">
        <v>13</v>
      </c>
      <c r="E79" s="1">
        <v>79000</v>
      </c>
      <c r="F79" s="4" t="s">
        <v>14</v>
      </c>
      <c r="G79" s="8" t="s">
        <v>12</v>
      </c>
      <c r="H79" s="7" t="s">
        <v>15</v>
      </c>
    </row>
    <row r="80" spans="1:8" x14ac:dyDescent="0.3">
      <c r="A80" s="1">
        <v>79</v>
      </c>
      <c r="B80" s="1">
        <v>25</v>
      </c>
      <c r="C80" s="1">
        <v>52</v>
      </c>
      <c r="D80" s="5" t="s">
        <v>7</v>
      </c>
      <c r="E80" s="1">
        <v>79500</v>
      </c>
      <c r="F80" s="2" t="s">
        <v>14</v>
      </c>
      <c r="G80" s="8" t="s">
        <v>12</v>
      </c>
      <c r="H80" s="7" t="s">
        <v>15</v>
      </c>
    </row>
    <row r="81" spans="1:8" x14ac:dyDescent="0.3">
      <c r="A81" s="1">
        <v>80</v>
      </c>
      <c r="B81" s="1">
        <v>22</v>
      </c>
      <c r="C81" s="1">
        <v>51</v>
      </c>
      <c r="D81" s="5" t="s">
        <v>13</v>
      </c>
      <c r="E81" s="1">
        <v>34000</v>
      </c>
      <c r="F81" s="8" t="s">
        <v>11</v>
      </c>
      <c r="G81" s="8" t="s">
        <v>12</v>
      </c>
      <c r="H81" s="7" t="s">
        <v>15</v>
      </c>
    </row>
    <row r="82" spans="1:8" x14ac:dyDescent="0.3">
      <c r="A82" s="1">
        <v>81</v>
      </c>
      <c r="B82" s="1">
        <v>22</v>
      </c>
      <c r="C82" s="1">
        <v>49</v>
      </c>
      <c r="D82" s="5" t="s">
        <v>7</v>
      </c>
      <c r="E82" s="1">
        <v>25000</v>
      </c>
      <c r="F82" s="8" t="s">
        <v>11</v>
      </c>
      <c r="G82" s="8" t="s">
        <v>12</v>
      </c>
      <c r="H82" s="7" t="s">
        <v>15</v>
      </c>
    </row>
    <row r="83" spans="1:8" x14ac:dyDescent="0.3">
      <c r="A83" s="1">
        <v>82</v>
      </c>
      <c r="B83" s="1">
        <v>23</v>
      </c>
      <c r="C83" s="1">
        <v>49</v>
      </c>
      <c r="D83" s="5" t="s">
        <v>13</v>
      </c>
      <c r="E83" s="1">
        <v>44000</v>
      </c>
      <c r="F83" s="4" t="s">
        <v>14</v>
      </c>
      <c r="G83" s="8" t="s">
        <v>17</v>
      </c>
      <c r="H83" s="7" t="s">
        <v>15</v>
      </c>
    </row>
    <row r="84" spans="1:8" x14ac:dyDescent="0.3">
      <c r="A84" s="1">
        <v>83</v>
      </c>
      <c r="B84" s="1">
        <v>31</v>
      </c>
      <c r="C84" s="1">
        <v>48</v>
      </c>
      <c r="D84" s="5" t="s">
        <v>7</v>
      </c>
      <c r="E84" s="1">
        <v>34000</v>
      </c>
      <c r="F84" s="4" t="s">
        <v>8</v>
      </c>
      <c r="G84" s="4" t="s">
        <v>9</v>
      </c>
      <c r="H84" s="5" t="s">
        <v>10</v>
      </c>
    </row>
    <row r="85" spans="1:8" x14ac:dyDescent="0.3">
      <c r="A85" s="1">
        <v>84</v>
      </c>
      <c r="B85" s="1">
        <v>37</v>
      </c>
      <c r="C85" s="1">
        <v>48</v>
      </c>
      <c r="D85" s="5" t="s">
        <v>7</v>
      </c>
      <c r="E85" s="1">
        <v>44500</v>
      </c>
      <c r="F85" s="7" t="s">
        <v>16</v>
      </c>
      <c r="G85" s="8" t="s">
        <v>12</v>
      </c>
      <c r="H85" s="7" t="s">
        <v>15</v>
      </c>
    </row>
    <row r="86" spans="1:8" x14ac:dyDescent="0.3">
      <c r="A86" s="1">
        <v>85</v>
      </c>
      <c r="B86" s="1">
        <v>29</v>
      </c>
      <c r="C86" s="1">
        <v>48</v>
      </c>
      <c r="D86" s="5" t="s">
        <v>7</v>
      </c>
      <c r="E86" s="1">
        <v>67000</v>
      </c>
      <c r="F86" s="4" t="s">
        <v>8</v>
      </c>
      <c r="G86" s="4" t="s">
        <v>9</v>
      </c>
      <c r="H86" s="5" t="s">
        <v>10</v>
      </c>
    </row>
    <row r="87" spans="1:8" x14ac:dyDescent="0.3">
      <c r="A87" s="1">
        <v>86</v>
      </c>
      <c r="B87" s="1">
        <v>24</v>
      </c>
      <c r="C87" s="1">
        <v>46</v>
      </c>
      <c r="D87" s="5" t="s">
        <v>7</v>
      </c>
      <c r="E87" s="1">
        <v>54500</v>
      </c>
      <c r="F87" s="7" t="s">
        <v>16</v>
      </c>
      <c r="G87" s="8" t="s">
        <v>12</v>
      </c>
      <c r="H87" s="5" t="s">
        <v>10</v>
      </c>
    </row>
    <row r="88" spans="1:8" x14ac:dyDescent="0.3">
      <c r="A88" s="1">
        <v>87</v>
      </c>
      <c r="B88" s="1">
        <v>21</v>
      </c>
      <c r="C88" s="1">
        <v>44</v>
      </c>
      <c r="D88" s="5" t="s">
        <v>13</v>
      </c>
      <c r="E88" s="1">
        <v>28500</v>
      </c>
      <c r="F88" s="2" t="s">
        <v>14</v>
      </c>
      <c r="G88" s="8" t="s">
        <v>12</v>
      </c>
      <c r="H88" s="7" t="s">
        <v>15</v>
      </c>
    </row>
    <row r="89" spans="1:8" x14ac:dyDescent="0.3">
      <c r="A89" s="1">
        <v>88</v>
      </c>
      <c r="B89" s="1">
        <v>21</v>
      </c>
      <c r="C89" s="1">
        <v>44</v>
      </c>
      <c r="D89" s="5" t="s">
        <v>7</v>
      </c>
      <c r="E89" s="1">
        <v>32500</v>
      </c>
      <c r="F89" s="4" t="s">
        <v>8</v>
      </c>
      <c r="G89" s="4" t="s">
        <v>9</v>
      </c>
      <c r="H89" s="5" t="s">
        <v>10</v>
      </c>
    </row>
    <row r="90" spans="1:8" x14ac:dyDescent="0.3">
      <c r="A90" s="1">
        <v>89</v>
      </c>
      <c r="B90" s="1">
        <v>37</v>
      </c>
      <c r="C90" s="1">
        <v>43</v>
      </c>
      <c r="D90" s="5" t="s">
        <v>7</v>
      </c>
      <c r="E90" s="1">
        <v>30500</v>
      </c>
      <c r="F90" s="2" t="s">
        <v>19</v>
      </c>
      <c r="G90" s="8" t="s">
        <v>12</v>
      </c>
      <c r="H90" s="7" t="s">
        <v>15</v>
      </c>
    </row>
    <row r="91" spans="1:8" x14ac:dyDescent="0.3">
      <c r="A91" s="1">
        <v>90</v>
      </c>
      <c r="B91" s="1">
        <v>26</v>
      </c>
      <c r="C91" s="1">
        <v>43</v>
      </c>
      <c r="D91" s="5" t="s">
        <v>13</v>
      </c>
      <c r="E91" s="1">
        <v>57000</v>
      </c>
      <c r="F91" s="4" t="s">
        <v>14</v>
      </c>
      <c r="G91" s="8" t="s">
        <v>12</v>
      </c>
      <c r="H91" s="7" t="s">
        <v>15</v>
      </c>
    </row>
    <row r="92" spans="1:8" x14ac:dyDescent="0.3">
      <c r="A92" s="1">
        <v>91</v>
      </c>
      <c r="B92" s="1">
        <v>34</v>
      </c>
      <c r="C92" s="1">
        <v>43</v>
      </c>
      <c r="D92" s="1" t="s">
        <v>13</v>
      </c>
      <c r="E92" s="1">
        <v>69500</v>
      </c>
      <c r="F92" s="4" t="s">
        <v>8</v>
      </c>
      <c r="G92" s="4" t="s">
        <v>9</v>
      </c>
      <c r="H92" s="5" t="s">
        <v>10</v>
      </c>
    </row>
    <row r="93" spans="1:8" x14ac:dyDescent="0.3">
      <c r="A93" s="1">
        <v>92</v>
      </c>
      <c r="B93" s="1">
        <v>21</v>
      </c>
      <c r="C93" s="1">
        <v>40</v>
      </c>
      <c r="D93" s="5" t="s">
        <v>13</v>
      </c>
      <c r="E93" s="1">
        <v>24500</v>
      </c>
      <c r="F93" s="4" t="s">
        <v>8</v>
      </c>
      <c r="G93" s="4" t="s">
        <v>9</v>
      </c>
      <c r="H93" s="5" t="s">
        <v>10</v>
      </c>
    </row>
    <row r="94" spans="1:8" x14ac:dyDescent="0.3">
      <c r="A94" s="1">
        <v>93</v>
      </c>
      <c r="B94" s="1">
        <v>23</v>
      </c>
      <c r="C94" s="1">
        <v>40</v>
      </c>
      <c r="D94" s="5" t="s">
        <v>7</v>
      </c>
      <c r="E94" s="1">
        <v>33500</v>
      </c>
      <c r="F94" s="4" t="s">
        <v>8</v>
      </c>
      <c r="G94" s="4" t="s">
        <v>9</v>
      </c>
      <c r="H94" s="7" t="s">
        <v>15</v>
      </c>
    </row>
    <row r="95" spans="1:8" x14ac:dyDescent="0.3">
      <c r="A95" s="1">
        <v>94</v>
      </c>
      <c r="B95" s="1">
        <v>24</v>
      </c>
      <c r="C95" s="1">
        <v>39</v>
      </c>
      <c r="D95" s="5" t="s">
        <v>7</v>
      </c>
      <c r="E95" s="1">
        <v>55500</v>
      </c>
      <c r="F95" s="4" t="s">
        <v>8</v>
      </c>
      <c r="G95" s="4" t="s">
        <v>9</v>
      </c>
      <c r="H95" s="5" t="s">
        <v>10</v>
      </c>
    </row>
    <row r="96" spans="1:8" x14ac:dyDescent="0.3">
      <c r="A96" s="1">
        <v>95</v>
      </c>
      <c r="B96" s="1">
        <v>35</v>
      </c>
      <c r="C96" s="1">
        <v>37</v>
      </c>
      <c r="D96" s="5" t="s">
        <v>7</v>
      </c>
      <c r="E96" s="1">
        <v>56500</v>
      </c>
      <c r="F96" s="7" t="s">
        <v>16</v>
      </c>
      <c r="G96" s="8" t="s">
        <v>12</v>
      </c>
      <c r="H96" s="7" t="s">
        <v>15</v>
      </c>
    </row>
    <row r="97" spans="1:8" x14ac:dyDescent="0.3">
      <c r="A97" s="1">
        <v>96</v>
      </c>
      <c r="B97" s="1">
        <v>24</v>
      </c>
      <c r="C97" s="1">
        <v>36</v>
      </c>
      <c r="D97" s="5" t="s">
        <v>7</v>
      </c>
      <c r="E97" s="1">
        <v>31000</v>
      </c>
      <c r="F97" s="2" t="s">
        <v>14</v>
      </c>
      <c r="G97" s="8" t="s">
        <v>17</v>
      </c>
      <c r="H97" s="5" t="s">
        <v>10</v>
      </c>
    </row>
    <row r="98" spans="1:8" x14ac:dyDescent="0.3">
      <c r="A98" s="1">
        <v>97</v>
      </c>
      <c r="B98" s="1">
        <v>21</v>
      </c>
      <c r="C98" s="1">
        <v>35</v>
      </c>
      <c r="D98" s="5" t="s">
        <v>7</v>
      </c>
      <c r="E98" s="1">
        <v>28000</v>
      </c>
      <c r="F98" s="4" t="s">
        <v>8</v>
      </c>
      <c r="G98" s="4" t="s">
        <v>9</v>
      </c>
      <c r="H98" s="5" t="s">
        <v>10</v>
      </c>
    </row>
    <row r="99" spans="1:8" x14ac:dyDescent="0.3">
      <c r="A99" s="1">
        <v>98</v>
      </c>
      <c r="B99" s="6">
        <v>66</v>
      </c>
      <c r="C99" s="1">
        <v>35</v>
      </c>
      <c r="D99" s="5" t="s">
        <v>7</v>
      </c>
      <c r="E99" s="1">
        <v>28000</v>
      </c>
      <c r="F99" s="2" t="s">
        <v>19</v>
      </c>
      <c r="G99" s="8" t="s">
        <v>17</v>
      </c>
      <c r="H99" s="7" t="s">
        <v>15</v>
      </c>
    </row>
    <row r="100" spans="1:8" x14ac:dyDescent="0.3">
      <c r="A100" s="1">
        <v>99</v>
      </c>
      <c r="B100" s="1">
        <v>22</v>
      </c>
      <c r="C100" s="1">
        <v>35</v>
      </c>
      <c r="D100" s="1" t="s">
        <v>13</v>
      </c>
      <c r="E100" s="1">
        <v>29000</v>
      </c>
      <c r="F100" s="4" t="s">
        <v>8</v>
      </c>
      <c r="G100" s="4" t="s">
        <v>9</v>
      </c>
      <c r="H100" s="7" t="s">
        <v>15</v>
      </c>
    </row>
    <row r="101" spans="1:8" x14ac:dyDescent="0.3">
      <c r="A101" s="1">
        <v>100</v>
      </c>
      <c r="B101" s="1">
        <v>36</v>
      </c>
      <c r="C101" s="1">
        <v>33</v>
      </c>
      <c r="D101" s="5" t="s">
        <v>7</v>
      </c>
      <c r="E101" s="1">
        <v>76000</v>
      </c>
      <c r="F101" s="4" t="s">
        <v>14</v>
      </c>
      <c r="G101" s="8" t="s">
        <v>17</v>
      </c>
      <c r="H101" s="7" t="s">
        <v>15</v>
      </c>
    </row>
    <row r="102" spans="1:8" x14ac:dyDescent="0.3">
      <c r="A102" s="1">
        <v>101</v>
      </c>
      <c r="B102" s="6">
        <v>57</v>
      </c>
      <c r="C102" s="1">
        <v>33</v>
      </c>
      <c r="D102" s="5" t="s">
        <v>7</v>
      </c>
      <c r="E102" s="1">
        <v>98000</v>
      </c>
      <c r="F102" s="2" t="s">
        <v>19</v>
      </c>
      <c r="G102" s="8" t="s">
        <v>17</v>
      </c>
      <c r="H102" s="7" t="s">
        <v>15</v>
      </c>
    </row>
    <row r="103" spans="1:8" x14ac:dyDescent="0.3">
      <c r="A103" s="1">
        <v>102</v>
      </c>
      <c r="B103" s="1">
        <v>21</v>
      </c>
      <c r="C103" s="1">
        <v>31</v>
      </c>
      <c r="D103" s="5" t="s">
        <v>7</v>
      </c>
      <c r="E103" s="1">
        <v>33500</v>
      </c>
      <c r="F103" s="8" t="s">
        <v>11</v>
      </c>
      <c r="G103" s="8" t="s">
        <v>12</v>
      </c>
      <c r="H103" s="5" t="s">
        <v>10</v>
      </c>
    </row>
    <row r="104" spans="1:8" x14ac:dyDescent="0.3">
      <c r="A104" s="1">
        <v>103</v>
      </c>
      <c r="B104" s="1">
        <v>24</v>
      </c>
      <c r="C104" s="1">
        <v>31</v>
      </c>
      <c r="D104" s="5" t="s">
        <v>13</v>
      </c>
      <c r="E104" s="1">
        <v>62500</v>
      </c>
      <c r="F104" s="4" t="s">
        <v>8</v>
      </c>
      <c r="G104" s="4" t="s">
        <v>9</v>
      </c>
      <c r="H104" s="5" t="s">
        <v>10</v>
      </c>
    </row>
    <row r="105" spans="1:8" x14ac:dyDescent="0.3">
      <c r="A105" s="1">
        <v>104</v>
      </c>
      <c r="B105" s="1">
        <v>42</v>
      </c>
      <c r="C105" s="1">
        <v>30</v>
      </c>
      <c r="D105" s="5" t="s">
        <v>7</v>
      </c>
      <c r="E105" s="1">
        <v>31000</v>
      </c>
      <c r="F105" s="2" t="s">
        <v>19</v>
      </c>
      <c r="G105" s="8" t="s">
        <v>12</v>
      </c>
      <c r="H105" s="7" t="s">
        <v>15</v>
      </c>
    </row>
    <row r="106" spans="1:8" x14ac:dyDescent="0.3">
      <c r="A106" s="1">
        <v>105</v>
      </c>
      <c r="B106" s="1">
        <v>30</v>
      </c>
      <c r="C106" s="1">
        <v>29</v>
      </c>
      <c r="D106" s="5" t="s">
        <v>7</v>
      </c>
      <c r="E106" s="1">
        <v>34500</v>
      </c>
      <c r="F106" s="2" t="s">
        <v>14</v>
      </c>
      <c r="G106" s="8" t="s">
        <v>12</v>
      </c>
      <c r="H106" s="7" t="s">
        <v>18</v>
      </c>
    </row>
    <row r="107" spans="1:8" x14ac:dyDescent="0.3">
      <c r="A107" s="1">
        <v>106</v>
      </c>
      <c r="B107" s="1">
        <v>36</v>
      </c>
      <c r="C107" s="1">
        <v>29</v>
      </c>
      <c r="D107" s="5" t="s">
        <v>7</v>
      </c>
      <c r="E107" s="1">
        <v>66500</v>
      </c>
      <c r="F107" s="4" t="s">
        <v>14</v>
      </c>
      <c r="G107" s="8" t="s">
        <v>12</v>
      </c>
      <c r="H107" s="7" t="s">
        <v>15</v>
      </c>
    </row>
    <row r="108" spans="1:8" x14ac:dyDescent="0.3">
      <c r="A108" s="1">
        <v>107</v>
      </c>
      <c r="B108" s="1">
        <v>47</v>
      </c>
      <c r="C108" s="1">
        <v>28</v>
      </c>
      <c r="D108" s="5" t="s">
        <v>13</v>
      </c>
      <c r="E108" s="1">
        <v>24500</v>
      </c>
      <c r="F108" s="4" t="s">
        <v>14</v>
      </c>
      <c r="G108" s="8" t="s">
        <v>12</v>
      </c>
      <c r="H108" s="7" t="s">
        <v>15</v>
      </c>
    </row>
    <row r="109" spans="1:8" x14ac:dyDescent="0.3">
      <c r="A109" s="1">
        <v>108</v>
      </c>
      <c r="B109" s="1">
        <v>20</v>
      </c>
      <c r="C109" s="1">
        <v>28</v>
      </c>
      <c r="D109" s="1" t="s">
        <v>13</v>
      </c>
      <c r="E109" s="1">
        <v>32000</v>
      </c>
      <c r="F109" s="4" t="s">
        <v>14</v>
      </c>
      <c r="G109" s="8" t="s">
        <v>12</v>
      </c>
      <c r="H109" s="5" t="s">
        <v>10</v>
      </c>
    </row>
    <row r="110" spans="1:8" x14ac:dyDescent="0.3">
      <c r="A110" s="1">
        <v>109</v>
      </c>
      <c r="B110" s="1">
        <v>23</v>
      </c>
      <c r="C110" s="1">
        <v>27</v>
      </c>
      <c r="D110" s="5" t="s">
        <v>7</v>
      </c>
      <c r="E110" s="1">
        <v>25500</v>
      </c>
      <c r="F110" s="2" t="s">
        <v>24</v>
      </c>
      <c r="G110" s="8" t="s">
        <v>12</v>
      </c>
      <c r="H110" s="7" t="s">
        <v>15</v>
      </c>
    </row>
    <row r="111" spans="1:8" x14ac:dyDescent="0.3">
      <c r="A111" s="1">
        <v>110</v>
      </c>
      <c r="B111" s="1">
        <v>40</v>
      </c>
      <c r="C111" s="1">
        <v>27</v>
      </c>
      <c r="D111" s="5" t="s">
        <v>7</v>
      </c>
      <c r="E111" s="1">
        <v>26000</v>
      </c>
      <c r="F111" s="2" t="s">
        <v>19</v>
      </c>
      <c r="G111" s="8" t="s">
        <v>12</v>
      </c>
      <c r="H111" s="5" t="s">
        <v>10</v>
      </c>
    </row>
    <row r="112" spans="1:8" x14ac:dyDescent="0.3">
      <c r="A112" s="1">
        <v>111</v>
      </c>
      <c r="B112" s="1">
        <v>52</v>
      </c>
      <c r="C112" s="1">
        <v>27</v>
      </c>
      <c r="D112" s="5" t="s">
        <v>7</v>
      </c>
      <c r="E112" s="1">
        <v>29500</v>
      </c>
      <c r="F112" s="2" t="s">
        <v>14</v>
      </c>
      <c r="G112" s="8" t="s">
        <v>12</v>
      </c>
      <c r="H112" s="5" t="s">
        <v>10</v>
      </c>
    </row>
    <row r="113" spans="1:22" x14ac:dyDescent="0.3">
      <c r="A113" s="1">
        <v>112</v>
      </c>
      <c r="B113" s="1">
        <v>23</v>
      </c>
      <c r="C113" s="1">
        <v>27</v>
      </c>
      <c r="D113" s="5" t="s">
        <v>7</v>
      </c>
      <c r="E113" s="1">
        <v>40500</v>
      </c>
      <c r="F113" s="4" t="s">
        <v>14</v>
      </c>
      <c r="G113" s="8" t="s">
        <v>12</v>
      </c>
      <c r="H113" s="7" t="s">
        <v>18</v>
      </c>
    </row>
    <row r="114" spans="1:22" x14ac:dyDescent="0.3">
      <c r="A114" s="1">
        <v>113</v>
      </c>
      <c r="B114" s="1">
        <v>29</v>
      </c>
      <c r="C114" s="1">
        <v>27</v>
      </c>
      <c r="D114" s="5" t="s">
        <v>13</v>
      </c>
      <c r="E114" s="1">
        <v>60500</v>
      </c>
      <c r="F114" s="7" t="s">
        <v>25</v>
      </c>
      <c r="G114" s="8" t="s">
        <v>12</v>
      </c>
      <c r="H114" s="7" t="s">
        <v>15</v>
      </c>
    </row>
    <row r="115" spans="1:22" x14ac:dyDescent="0.3">
      <c r="A115" s="1">
        <v>114</v>
      </c>
      <c r="B115" s="1">
        <v>23</v>
      </c>
      <c r="C115" s="1">
        <v>24</v>
      </c>
      <c r="D115" s="5" t="s">
        <v>7</v>
      </c>
      <c r="E115" s="1">
        <v>25500</v>
      </c>
      <c r="F115" s="4" t="s">
        <v>8</v>
      </c>
      <c r="G115" s="4" t="s">
        <v>9</v>
      </c>
      <c r="H115" s="5" t="s">
        <v>10</v>
      </c>
    </row>
    <row r="116" spans="1:22" x14ac:dyDescent="0.3">
      <c r="A116" s="1">
        <v>115</v>
      </c>
      <c r="B116" s="1">
        <v>29</v>
      </c>
      <c r="C116" s="1">
        <v>24</v>
      </c>
      <c r="D116" s="5" t="s">
        <v>7</v>
      </c>
      <c r="E116" s="1">
        <v>61000</v>
      </c>
      <c r="F116" s="4" t="s">
        <v>8</v>
      </c>
      <c r="G116" s="4" t="s">
        <v>9</v>
      </c>
      <c r="H116" s="5" t="s">
        <v>10</v>
      </c>
    </row>
    <row r="117" spans="1:22" x14ac:dyDescent="0.3">
      <c r="A117" s="1">
        <v>116</v>
      </c>
      <c r="B117" s="1">
        <v>19</v>
      </c>
      <c r="C117" s="1">
        <v>23</v>
      </c>
      <c r="D117" s="5" t="s">
        <v>13</v>
      </c>
      <c r="E117" s="1">
        <v>28000</v>
      </c>
      <c r="F117" s="8" t="s">
        <v>11</v>
      </c>
      <c r="G117" s="8" t="s">
        <v>12</v>
      </c>
      <c r="H117" s="7" t="s">
        <v>15</v>
      </c>
    </row>
    <row r="118" spans="1:22" x14ac:dyDescent="0.3">
      <c r="A118" s="1">
        <v>117</v>
      </c>
      <c r="B118" s="1">
        <v>49</v>
      </c>
      <c r="C118" s="1">
        <v>23</v>
      </c>
      <c r="D118" s="5" t="s">
        <v>13</v>
      </c>
      <c r="E118" s="1">
        <v>28000</v>
      </c>
      <c r="F118" s="7" t="s">
        <v>25</v>
      </c>
      <c r="G118" s="8" t="s">
        <v>12</v>
      </c>
      <c r="H118" s="5" t="s">
        <v>10</v>
      </c>
    </row>
    <row r="119" spans="1:22" x14ac:dyDescent="0.3">
      <c r="A119" s="1">
        <v>118</v>
      </c>
      <c r="B119" s="1">
        <v>19</v>
      </c>
      <c r="C119" s="1">
        <v>23</v>
      </c>
      <c r="D119" s="5" t="s">
        <v>7</v>
      </c>
      <c r="E119" s="1">
        <v>32000</v>
      </c>
      <c r="F119" s="4" t="s">
        <v>8</v>
      </c>
      <c r="G119" s="4" t="s">
        <v>9</v>
      </c>
      <c r="H119" s="7" t="s">
        <v>18</v>
      </c>
    </row>
    <row r="120" spans="1:22" x14ac:dyDescent="0.3">
      <c r="A120" s="1">
        <v>119</v>
      </c>
      <c r="B120" s="1">
        <v>20</v>
      </c>
      <c r="C120" s="1">
        <v>23</v>
      </c>
      <c r="D120" s="5" t="s">
        <v>13</v>
      </c>
      <c r="E120" s="1">
        <v>33500</v>
      </c>
      <c r="F120" s="4" t="s">
        <v>8</v>
      </c>
      <c r="G120" s="4" t="s">
        <v>9</v>
      </c>
      <c r="H120" s="5" t="s">
        <v>10</v>
      </c>
    </row>
    <row r="121" spans="1:22" x14ac:dyDescent="0.3">
      <c r="A121" s="1">
        <v>120</v>
      </c>
      <c r="B121" s="1">
        <v>33</v>
      </c>
      <c r="C121" s="1">
        <v>22</v>
      </c>
      <c r="D121" s="5" t="s">
        <v>13</v>
      </c>
      <c r="E121" s="1">
        <v>23500</v>
      </c>
      <c r="F121" s="4" t="s">
        <v>8</v>
      </c>
      <c r="G121" s="4" t="s">
        <v>9</v>
      </c>
      <c r="H121" s="7" t="s">
        <v>18</v>
      </c>
    </row>
    <row r="122" spans="1:22" x14ac:dyDescent="0.3">
      <c r="A122" s="1">
        <v>121</v>
      </c>
      <c r="B122" s="1">
        <v>20</v>
      </c>
      <c r="C122" s="1">
        <v>21</v>
      </c>
      <c r="D122" s="5" t="s">
        <v>7</v>
      </c>
      <c r="E122" s="1">
        <v>22000</v>
      </c>
      <c r="F122" s="8" t="s">
        <v>11</v>
      </c>
      <c r="G122" s="8" t="s">
        <v>12</v>
      </c>
      <c r="H122" s="7" t="s">
        <v>18</v>
      </c>
    </row>
    <row r="123" spans="1:22" x14ac:dyDescent="0.3">
      <c r="A123" s="1">
        <v>122</v>
      </c>
      <c r="B123" s="1">
        <v>23</v>
      </c>
      <c r="C123" s="1">
        <v>21</v>
      </c>
      <c r="D123" s="5" t="s">
        <v>7</v>
      </c>
      <c r="E123" s="1">
        <v>42500</v>
      </c>
      <c r="F123" s="4" t="s">
        <v>20</v>
      </c>
      <c r="G123" s="4" t="s">
        <v>21</v>
      </c>
      <c r="H123" s="7" t="s">
        <v>18</v>
      </c>
      <c r="V123" s="3" t="s">
        <v>26</v>
      </c>
    </row>
    <row r="124" spans="1:22" x14ac:dyDescent="0.3">
      <c r="A124" s="1">
        <v>123</v>
      </c>
      <c r="B124" s="6">
        <v>62</v>
      </c>
      <c r="C124" s="1">
        <v>20</v>
      </c>
      <c r="D124" s="5" t="s">
        <v>13</v>
      </c>
      <c r="E124" s="1">
        <v>24500</v>
      </c>
      <c r="F124" s="4" t="s">
        <v>8</v>
      </c>
      <c r="G124" s="4" t="s">
        <v>9</v>
      </c>
      <c r="H124" s="5" t="s">
        <v>10</v>
      </c>
    </row>
    <row r="125" spans="1:22" x14ac:dyDescent="0.3">
      <c r="A125" s="1">
        <v>124</v>
      </c>
      <c r="B125" s="1">
        <v>20</v>
      </c>
      <c r="C125" s="1">
        <v>19</v>
      </c>
      <c r="D125" s="5" t="s">
        <v>7</v>
      </c>
      <c r="E125" s="1">
        <v>29000</v>
      </c>
      <c r="F125" s="4" t="s">
        <v>14</v>
      </c>
      <c r="G125" s="8" t="s">
        <v>12</v>
      </c>
      <c r="H125" s="5" t="s">
        <v>10</v>
      </c>
    </row>
    <row r="126" spans="1:22" x14ac:dyDescent="0.3">
      <c r="A126" s="1">
        <v>125</v>
      </c>
      <c r="B126" s="1">
        <v>20</v>
      </c>
      <c r="C126" s="1">
        <v>19</v>
      </c>
      <c r="D126" s="5" t="s">
        <v>13</v>
      </c>
      <c r="E126" s="1">
        <v>33000</v>
      </c>
      <c r="F126" s="4" t="s">
        <v>8</v>
      </c>
      <c r="G126" s="4" t="s">
        <v>9</v>
      </c>
      <c r="H126" s="5" t="s">
        <v>10</v>
      </c>
    </row>
    <row r="127" spans="1:22" x14ac:dyDescent="0.3">
      <c r="A127" s="1">
        <v>126</v>
      </c>
      <c r="B127" s="1">
        <v>26</v>
      </c>
      <c r="C127" s="1">
        <v>18</v>
      </c>
      <c r="D127" s="5" t="s">
        <v>7</v>
      </c>
      <c r="E127" s="1">
        <v>70500</v>
      </c>
      <c r="F127" s="4" t="s">
        <v>8</v>
      </c>
      <c r="G127" s="4" t="s">
        <v>9</v>
      </c>
      <c r="H127" s="7" t="s">
        <v>18</v>
      </c>
    </row>
    <row r="128" spans="1:22" x14ac:dyDescent="0.3">
      <c r="A128" s="1">
        <v>127</v>
      </c>
      <c r="B128" s="1">
        <v>29</v>
      </c>
      <c r="C128" s="1">
        <v>17</v>
      </c>
      <c r="D128" s="5" t="s">
        <v>7</v>
      </c>
      <c r="E128" s="1">
        <v>24000</v>
      </c>
      <c r="F128" s="4" t="s">
        <v>8</v>
      </c>
      <c r="G128" s="4" t="s">
        <v>9</v>
      </c>
      <c r="H128" s="5" t="s">
        <v>10</v>
      </c>
    </row>
    <row r="129" spans="1:8" x14ac:dyDescent="0.3">
      <c r="A129" s="1">
        <v>128</v>
      </c>
      <c r="B129" s="1">
        <v>41</v>
      </c>
      <c r="C129" s="1">
        <v>17</v>
      </c>
      <c r="D129" s="5" t="s">
        <v>7</v>
      </c>
      <c r="E129" s="1">
        <v>29500</v>
      </c>
      <c r="F129" s="4" t="s">
        <v>8</v>
      </c>
      <c r="G129" s="4" t="s">
        <v>9</v>
      </c>
      <c r="H129" s="5" t="s">
        <v>10</v>
      </c>
    </row>
    <row r="130" spans="1:8" x14ac:dyDescent="0.3">
      <c r="A130" s="1">
        <v>129</v>
      </c>
      <c r="B130" s="1">
        <v>25</v>
      </c>
      <c r="C130" s="1">
        <v>17</v>
      </c>
      <c r="D130" s="5" t="s">
        <v>7</v>
      </c>
      <c r="E130" s="1">
        <v>47500</v>
      </c>
      <c r="F130" s="4" t="s">
        <v>8</v>
      </c>
      <c r="G130" s="4" t="s">
        <v>9</v>
      </c>
      <c r="H130" s="5" t="s">
        <v>10</v>
      </c>
    </row>
    <row r="131" spans="1:8" x14ac:dyDescent="0.3">
      <c r="A131" s="1">
        <v>130</v>
      </c>
      <c r="B131" s="1">
        <v>23</v>
      </c>
      <c r="C131" s="1">
        <v>15</v>
      </c>
      <c r="D131" s="5" t="s">
        <v>13</v>
      </c>
      <c r="E131" s="1">
        <v>23500</v>
      </c>
      <c r="F131" s="2" t="s">
        <v>19</v>
      </c>
      <c r="G131" s="8" t="s">
        <v>12</v>
      </c>
      <c r="H131" s="5" t="s">
        <v>10</v>
      </c>
    </row>
    <row r="132" spans="1:8" x14ac:dyDescent="0.3">
      <c r="A132" s="1">
        <v>131</v>
      </c>
      <c r="B132" s="1">
        <v>21</v>
      </c>
      <c r="C132" s="1">
        <v>15</v>
      </c>
      <c r="D132" s="5" t="s">
        <v>13</v>
      </c>
      <c r="E132" s="1">
        <v>24000</v>
      </c>
      <c r="F132" s="2" t="s">
        <v>14</v>
      </c>
      <c r="G132" s="8" t="s">
        <v>17</v>
      </c>
      <c r="H132" s="5" t="s">
        <v>10</v>
      </c>
    </row>
    <row r="133" spans="1:8" x14ac:dyDescent="0.3">
      <c r="A133" s="1">
        <v>132</v>
      </c>
      <c r="B133" s="1">
        <v>34</v>
      </c>
      <c r="C133" s="1">
        <v>15</v>
      </c>
      <c r="D133" s="1" t="s">
        <v>13</v>
      </c>
      <c r="E133" s="1">
        <v>44500</v>
      </c>
      <c r="F133" s="4" t="s">
        <v>8</v>
      </c>
      <c r="G133" s="4" t="s">
        <v>9</v>
      </c>
      <c r="H133" s="5" t="s">
        <v>10</v>
      </c>
    </row>
    <row r="134" spans="1:8" x14ac:dyDescent="0.3">
      <c r="A134" s="1">
        <v>133</v>
      </c>
      <c r="B134" s="1">
        <v>43</v>
      </c>
      <c r="C134" s="1">
        <v>15</v>
      </c>
      <c r="D134" s="5" t="s">
        <v>7</v>
      </c>
      <c r="E134" s="1">
        <v>92000</v>
      </c>
      <c r="F134" s="4" t="s">
        <v>8</v>
      </c>
      <c r="G134" s="4" t="s">
        <v>9</v>
      </c>
      <c r="H134" s="7" t="s">
        <v>18</v>
      </c>
    </row>
    <row r="135" spans="1:8" x14ac:dyDescent="0.3">
      <c r="A135" s="1">
        <v>134</v>
      </c>
      <c r="B135" s="1">
        <v>30</v>
      </c>
      <c r="C135" s="1">
        <v>15</v>
      </c>
      <c r="D135" s="5" t="s">
        <v>7</v>
      </c>
      <c r="E135" s="1">
        <v>99000</v>
      </c>
      <c r="F135" s="4" t="s">
        <v>8</v>
      </c>
      <c r="G135" s="4" t="s">
        <v>9</v>
      </c>
      <c r="H135" s="5" t="s">
        <v>10</v>
      </c>
    </row>
    <row r="136" spans="1:8" x14ac:dyDescent="0.3">
      <c r="A136" s="1">
        <v>135</v>
      </c>
      <c r="B136" s="1">
        <v>35</v>
      </c>
      <c r="C136" s="1">
        <v>14</v>
      </c>
      <c r="D136" s="5" t="s">
        <v>7</v>
      </c>
      <c r="E136" s="1">
        <v>22500</v>
      </c>
      <c r="F136" s="4" t="s">
        <v>14</v>
      </c>
      <c r="G136" s="8" t="s">
        <v>17</v>
      </c>
      <c r="H136" s="7" t="s">
        <v>15</v>
      </c>
    </row>
    <row r="137" spans="1:8" x14ac:dyDescent="0.3">
      <c r="A137" s="1">
        <v>136</v>
      </c>
      <c r="B137" s="1">
        <v>38</v>
      </c>
      <c r="C137" s="1">
        <v>14</v>
      </c>
      <c r="D137" s="5" t="s">
        <v>7</v>
      </c>
      <c r="E137" s="1">
        <v>22500</v>
      </c>
      <c r="F137" s="2" t="s">
        <v>19</v>
      </c>
      <c r="G137" s="8" t="s">
        <v>12</v>
      </c>
      <c r="H137" s="7" t="s">
        <v>15</v>
      </c>
    </row>
    <row r="138" spans="1:8" x14ac:dyDescent="0.3">
      <c r="A138" s="1">
        <v>137</v>
      </c>
      <c r="B138" s="1">
        <v>50</v>
      </c>
      <c r="C138" s="1">
        <v>14</v>
      </c>
      <c r="D138" s="5" t="s">
        <v>7</v>
      </c>
      <c r="E138" s="1">
        <v>22500</v>
      </c>
      <c r="F138" s="4" t="s">
        <v>8</v>
      </c>
      <c r="G138" s="4" t="s">
        <v>9</v>
      </c>
      <c r="H138" s="5" t="s">
        <v>10</v>
      </c>
    </row>
    <row r="139" spans="1:8" x14ac:dyDescent="0.3">
      <c r="A139" s="1">
        <v>138</v>
      </c>
      <c r="B139" s="1">
        <v>31</v>
      </c>
      <c r="C139" s="1">
        <v>14</v>
      </c>
      <c r="D139" s="5" t="s">
        <v>7</v>
      </c>
      <c r="E139" s="1">
        <v>25000</v>
      </c>
      <c r="F139" s="2" t="s">
        <v>19</v>
      </c>
      <c r="G139" s="8" t="s">
        <v>12</v>
      </c>
      <c r="H139" s="7" t="s">
        <v>15</v>
      </c>
    </row>
    <row r="140" spans="1:8" x14ac:dyDescent="0.3">
      <c r="A140" s="1">
        <v>139</v>
      </c>
      <c r="B140" s="1">
        <v>26</v>
      </c>
      <c r="C140" s="1">
        <v>14</v>
      </c>
      <c r="D140" s="5" t="s">
        <v>7</v>
      </c>
      <c r="E140" s="1">
        <v>60500</v>
      </c>
      <c r="F140" s="4" t="s">
        <v>14</v>
      </c>
      <c r="G140" s="8" t="s">
        <v>12</v>
      </c>
      <c r="H140" s="7" t="s">
        <v>15</v>
      </c>
    </row>
    <row r="141" spans="1:8" x14ac:dyDescent="0.3">
      <c r="A141" s="1">
        <v>140</v>
      </c>
      <c r="B141" s="1">
        <v>19</v>
      </c>
      <c r="C141" s="1">
        <v>13</v>
      </c>
      <c r="D141" s="5" t="s">
        <v>7</v>
      </c>
      <c r="E141" s="1">
        <v>22000</v>
      </c>
      <c r="F141" s="4" t="s">
        <v>14</v>
      </c>
      <c r="G141" s="8" t="s">
        <v>17</v>
      </c>
      <c r="H141" s="7" t="s">
        <v>15</v>
      </c>
    </row>
    <row r="142" spans="1:8" x14ac:dyDescent="0.3">
      <c r="A142" s="1">
        <v>141</v>
      </c>
      <c r="B142" s="1">
        <v>27</v>
      </c>
      <c r="C142" s="1">
        <v>13</v>
      </c>
      <c r="D142" s="5" t="s">
        <v>7</v>
      </c>
      <c r="E142" s="1">
        <v>24000</v>
      </c>
      <c r="F142" s="4" t="s">
        <v>14</v>
      </c>
      <c r="G142" s="8" t="s">
        <v>12</v>
      </c>
      <c r="H142" s="7" t="s">
        <v>15</v>
      </c>
    </row>
    <row r="143" spans="1:8" x14ac:dyDescent="0.3">
      <c r="A143" s="1">
        <v>142</v>
      </c>
      <c r="B143" s="1">
        <v>20</v>
      </c>
      <c r="C143" s="1">
        <v>13</v>
      </c>
      <c r="D143" s="5" t="s">
        <v>7</v>
      </c>
      <c r="E143" s="1">
        <v>27000</v>
      </c>
      <c r="F143" s="4" t="s">
        <v>20</v>
      </c>
      <c r="G143" s="4" t="s">
        <v>21</v>
      </c>
      <c r="H143" s="5" t="s">
        <v>10</v>
      </c>
    </row>
    <row r="144" spans="1:8" x14ac:dyDescent="0.3">
      <c r="A144" s="1">
        <v>143</v>
      </c>
      <c r="B144" s="1">
        <v>32</v>
      </c>
      <c r="C144" s="1">
        <v>13</v>
      </c>
      <c r="D144" s="5" t="s">
        <v>7</v>
      </c>
      <c r="E144" s="1">
        <v>29000</v>
      </c>
      <c r="F144" s="7" t="s">
        <v>16</v>
      </c>
      <c r="G144" s="8" t="s">
        <v>12</v>
      </c>
      <c r="H144" s="7" t="s">
        <v>18</v>
      </c>
    </row>
    <row r="145" spans="1:8" x14ac:dyDescent="0.3">
      <c r="A145" s="1">
        <v>144</v>
      </c>
      <c r="B145" s="1">
        <v>24</v>
      </c>
      <c r="C145" s="1">
        <v>13</v>
      </c>
      <c r="D145" s="5" t="s">
        <v>13</v>
      </c>
      <c r="E145" s="1">
        <v>38500</v>
      </c>
      <c r="F145" s="2" t="s">
        <v>19</v>
      </c>
      <c r="G145" s="8" t="s">
        <v>12</v>
      </c>
      <c r="H145" s="7" t="s">
        <v>18</v>
      </c>
    </row>
    <row r="146" spans="1:8" x14ac:dyDescent="0.3">
      <c r="A146" s="1">
        <v>145</v>
      </c>
      <c r="B146" s="1">
        <v>42</v>
      </c>
      <c r="C146" s="1">
        <v>12</v>
      </c>
      <c r="D146" s="5" t="s">
        <v>7</v>
      </c>
      <c r="E146" s="1">
        <v>21000</v>
      </c>
      <c r="F146" s="4" t="s">
        <v>8</v>
      </c>
      <c r="G146" s="4" t="s">
        <v>9</v>
      </c>
      <c r="H146" s="7" t="s">
        <v>15</v>
      </c>
    </row>
    <row r="147" spans="1:8" x14ac:dyDescent="0.3">
      <c r="A147" s="1">
        <v>146</v>
      </c>
      <c r="B147" s="1">
        <v>18</v>
      </c>
      <c r="C147" s="1">
        <v>12</v>
      </c>
      <c r="D147" s="5" t="s">
        <v>13</v>
      </c>
      <c r="E147" s="1">
        <v>24000</v>
      </c>
      <c r="F147" s="7" t="s">
        <v>16</v>
      </c>
      <c r="G147" s="8" t="s">
        <v>12</v>
      </c>
      <c r="H147" s="5" t="s">
        <v>10</v>
      </c>
    </row>
    <row r="148" spans="1:8" x14ac:dyDescent="0.3">
      <c r="A148" s="1">
        <v>147</v>
      </c>
      <c r="B148" s="1">
        <v>21</v>
      </c>
      <c r="C148" s="1">
        <v>12</v>
      </c>
      <c r="D148" s="5" t="s">
        <v>7</v>
      </c>
      <c r="E148" s="1">
        <v>24000</v>
      </c>
      <c r="F148" s="4" t="s">
        <v>8</v>
      </c>
      <c r="G148" s="4" t="s">
        <v>9</v>
      </c>
      <c r="H148" s="7" t="s">
        <v>15</v>
      </c>
    </row>
    <row r="149" spans="1:8" x14ac:dyDescent="0.3">
      <c r="A149" s="1">
        <v>148</v>
      </c>
      <c r="B149" s="1">
        <v>18</v>
      </c>
      <c r="C149" s="1">
        <v>12</v>
      </c>
      <c r="D149" s="5" t="s">
        <v>7</v>
      </c>
      <c r="E149" s="1">
        <v>28500</v>
      </c>
      <c r="F149" s="4" t="s">
        <v>14</v>
      </c>
      <c r="G149" s="8" t="s">
        <v>12</v>
      </c>
      <c r="H149" s="5" t="s">
        <v>10</v>
      </c>
    </row>
    <row r="150" spans="1:8" x14ac:dyDescent="0.3">
      <c r="A150" s="1">
        <v>149</v>
      </c>
      <c r="B150" s="1">
        <v>20</v>
      </c>
      <c r="C150" s="1">
        <v>12</v>
      </c>
      <c r="D150" s="5" t="s">
        <v>13</v>
      </c>
      <c r="E150" s="1">
        <v>29500</v>
      </c>
      <c r="F150" s="8" t="s">
        <v>11</v>
      </c>
      <c r="G150" s="8" t="s">
        <v>12</v>
      </c>
      <c r="H150" s="7" t="s">
        <v>15</v>
      </c>
    </row>
    <row r="151" spans="1:8" x14ac:dyDescent="0.3">
      <c r="A151" s="1">
        <v>150</v>
      </c>
      <c r="B151" s="1">
        <v>34</v>
      </c>
      <c r="C151" s="1">
        <v>12</v>
      </c>
      <c r="D151" s="5" t="s">
        <v>7</v>
      </c>
      <c r="E151" s="1">
        <v>82500</v>
      </c>
      <c r="F151" s="4" t="s">
        <v>8</v>
      </c>
      <c r="G151" s="4" t="s">
        <v>9</v>
      </c>
      <c r="H151" s="5" t="s">
        <v>10</v>
      </c>
    </row>
    <row r="152" spans="1:8" x14ac:dyDescent="0.3">
      <c r="A152" s="1">
        <v>151</v>
      </c>
      <c r="B152" s="1">
        <v>40</v>
      </c>
      <c r="C152" s="1">
        <v>12</v>
      </c>
      <c r="D152" s="5" t="s">
        <v>7</v>
      </c>
      <c r="E152" s="1">
        <v>93500</v>
      </c>
      <c r="F152" s="7" t="s">
        <v>16</v>
      </c>
      <c r="G152" s="8" t="s">
        <v>12</v>
      </c>
      <c r="H152" s="5" t="s">
        <v>10</v>
      </c>
    </row>
    <row r="153" spans="1:8" x14ac:dyDescent="0.3">
      <c r="A153" s="1">
        <v>152</v>
      </c>
      <c r="B153" s="1">
        <v>18</v>
      </c>
      <c r="C153" s="1">
        <v>11</v>
      </c>
      <c r="D153" s="5" t="s">
        <v>7</v>
      </c>
      <c r="E153" s="1">
        <v>34000</v>
      </c>
      <c r="F153" s="2" t="s">
        <v>14</v>
      </c>
      <c r="G153" s="8" t="s">
        <v>12</v>
      </c>
      <c r="H153" s="7" t="s">
        <v>15</v>
      </c>
    </row>
    <row r="154" spans="1:8" x14ac:dyDescent="0.3">
      <c r="A154" s="1">
        <v>153</v>
      </c>
      <c r="B154" s="1">
        <v>18</v>
      </c>
      <c r="C154" s="1">
        <v>11</v>
      </c>
      <c r="D154" s="5" t="s">
        <v>13</v>
      </c>
      <c r="E154" s="1">
        <v>34000</v>
      </c>
      <c r="F154" s="4" t="s">
        <v>8</v>
      </c>
      <c r="G154" s="4" t="s">
        <v>9</v>
      </c>
      <c r="H154" s="5" t="s">
        <v>10</v>
      </c>
    </row>
    <row r="155" spans="1:8" x14ac:dyDescent="0.3">
      <c r="A155" s="1">
        <v>154</v>
      </c>
      <c r="B155" s="1">
        <v>18</v>
      </c>
      <c r="C155" s="1">
        <v>10</v>
      </c>
      <c r="D155" s="5" t="s">
        <v>7</v>
      </c>
      <c r="E155" s="1">
        <v>27500</v>
      </c>
      <c r="F155" s="7" t="s">
        <v>16</v>
      </c>
      <c r="G155" s="8" t="s">
        <v>12</v>
      </c>
      <c r="H155" s="7" t="s">
        <v>15</v>
      </c>
    </row>
    <row r="156" spans="1:8" x14ac:dyDescent="0.3">
      <c r="A156" s="1">
        <v>155</v>
      </c>
      <c r="B156" s="1">
        <v>19</v>
      </c>
      <c r="C156" s="1">
        <v>10</v>
      </c>
      <c r="D156" s="5" t="s">
        <v>7</v>
      </c>
      <c r="E156" s="1">
        <v>27500</v>
      </c>
      <c r="F156" s="4" t="s">
        <v>14</v>
      </c>
      <c r="G156" s="8" t="s">
        <v>12</v>
      </c>
      <c r="H156" s="7" t="s">
        <v>15</v>
      </c>
    </row>
    <row r="157" spans="1:8" x14ac:dyDescent="0.3">
      <c r="A157" s="1">
        <v>156</v>
      </c>
      <c r="B157" s="1">
        <v>19</v>
      </c>
      <c r="C157" s="1">
        <v>10</v>
      </c>
      <c r="D157" s="5" t="s">
        <v>7</v>
      </c>
      <c r="E157" s="1">
        <v>34500</v>
      </c>
      <c r="F157" s="2" t="s">
        <v>19</v>
      </c>
      <c r="G157" s="8" t="s">
        <v>17</v>
      </c>
      <c r="H157" s="7" t="s">
        <v>15</v>
      </c>
    </row>
    <row r="158" spans="1:8" x14ac:dyDescent="0.3">
      <c r="A158" s="1">
        <v>157</v>
      </c>
      <c r="B158" s="1">
        <v>39</v>
      </c>
      <c r="C158" s="1">
        <v>10</v>
      </c>
      <c r="D158" s="5" t="s">
        <v>7</v>
      </c>
      <c r="E158" s="1">
        <v>41000</v>
      </c>
      <c r="F158" s="4" t="s">
        <v>14</v>
      </c>
      <c r="G158" s="8" t="s">
        <v>12</v>
      </c>
      <c r="H158" s="7" t="s">
        <v>15</v>
      </c>
    </row>
    <row r="159" spans="1:8" x14ac:dyDescent="0.3">
      <c r="A159" s="1">
        <v>158</v>
      </c>
      <c r="B159" s="1">
        <v>28</v>
      </c>
      <c r="C159" s="1">
        <v>10</v>
      </c>
      <c r="D159" s="1" t="s">
        <v>13</v>
      </c>
      <c r="E159" s="1">
        <v>47000</v>
      </c>
      <c r="F159" s="4" t="s">
        <v>8</v>
      </c>
      <c r="G159" s="4" t="s">
        <v>9</v>
      </c>
      <c r="H159" s="5" t="s">
        <v>10</v>
      </c>
    </row>
    <row r="160" spans="1:8" x14ac:dyDescent="0.3">
      <c r="A160" s="1">
        <v>159</v>
      </c>
      <c r="B160" s="1">
        <v>28</v>
      </c>
      <c r="C160" s="1">
        <v>10</v>
      </c>
      <c r="D160" s="5" t="s">
        <v>13</v>
      </c>
      <c r="E160" s="1">
        <v>65000</v>
      </c>
      <c r="F160" s="4" t="s">
        <v>8</v>
      </c>
      <c r="G160" s="4" t="s">
        <v>9</v>
      </c>
      <c r="H160" s="5" t="s">
        <v>10</v>
      </c>
    </row>
    <row r="161" spans="1:8" x14ac:dyDescent="0.3">
      <c r="A161" s="1">
        <v>160</v>
      </c>
      <c r="B161" s="1">
        <v>18</v>
      </c>
      <c r="C161" s="1">
        <v>9</v>
      </c>
      <c r="D161" s="5" t="s">
        <v>7</v>
      </c>
      <c r="E161" s="1">
        <v>21000</v>
      </c>
      <c r="F161" s="4" t="s">
        <v>8</v>
      </c>
      <c r="G161" s="4" t="s">
        <v>9</v>
      </c>
      <c r="H161" s="7" t="s">
        <v>15</v>
      </c>
    </row>
    <row r="162" spans="1:8" x14ac:dyDescent="0.3">
      <c r="A162" s="1">
        <v>161</v>
      </c>
      <c r="B162" s="1">
        <v>23</v>
      </c>
      <c r="C162" s="1">
        <v>9</v>
      </c>
      <c r="D162" s="5" t="s">
        <v>7</v>
      </c>
      <c r="E162" s="1">
        <v>21000</v>
      </c>
      <c r="F162" s="4" t="s">
        <v>8</v>
      </c>
      <c r="G162" s="4" t="s">
        <v>9</v>
      </c>
      <c r="H162" s="7" t="s">
        <v>15</v>
      </c>
    </row>
    <row r="163" spans="1:8" x14ac:dyDescent="0.3">
      <c r="A163" s="1">
        <v>162</v>
      </c>
      <c r="B163" s="1">
        <v>26</v>
      </c>
      <c r="C163" s="1">
        <v>9</v>
      </c>
      <c r="D163" s="5" t="s">
        <v>7</v>
      </c>
      <c r="E163" s="1">
        <v>21000</v>
      </c>
      <c r="F163" s="7" t="s">
        <v>16</v>
      </c>
      <c r="G163" s="8" t="s">
        <v>12</v>
      </c>
      <c r="H163" s="7" t="s">
        <v>15</v>
      </c>
    </row>
    <row r="164" spans="1:8" x14ac:dyDescent="0.3">
      <c r="A164" s="1">
        <v>163</v>
      </c>
      <c r="B164" s="1">
        <v>30</v>
      </c>
      <c r="C164" s="1">
        <v>9</v>
      </c>
      <c r="D164" s="5" t="s">
        <v>7</v>
      </c>
      <c r="E164" s="1">
        <v>21000</v>
      </c>
      <c r="F164" s="4" t="s">
        <v>20</v>
      </c>
      <c r="G164" s="4" t="s">
        <v>21</v>
      </c>
      <c r="H164" s="7" t="s">
        <v>15</v>
      </c>
    </row>
    <row r="165" spans="1:8" x14ac:dyDescent="0.3">
      <c r="A165" s="1">
        <v>164</v>
      </c>
      <c r="B165" s="1">
        <v>22</v>
      </c>
      <c r="C165" s="1">
        <v>9</v>
      </c>
      <c r="D165" s="5" t="s">
        <v>7</v>
      </c>
      <c r="E165" s="1">
        <v>30500</v>
      </c>
      <c r="F165" s="4" t="s">
        <v>8</v>
      </c>
      <c r="G165" s="4" t="s">
        <v>9</v>
      </c>
      <c r="H165" s="5" t="s">
        <v>10</v>
      </c>
    </row>
    <row r="166" spans="1:8" x14ac:dyDescent="0.3">
      <c r="A166" s="1">
        <v>165</v>
      </c>
      <c r="B166" s="1">
        <v>31</v>
      </c>
      <c r="C166" s="1">
        <v>9</v>
      </c>
      <c r="D166" s="5" t="s">
        <v>7</v>
      </c>
      <c r="E166" s="1">
        <v>42500</v>
      </c>
      <c r="F166" s="7" t="s">
        <v>16</v>
      </c>
      <c r="G166" s="8" t="s">
        <v>12</v>
      </c>
      <c r="H166" s="7" t="s">
        <v>15</v>
      </c>
    </row>
    <row r="167" spans="1:8" x14ac:dyDescent="0.3">
      <c r="A167" s="1">
        <v>166</v>
      </c>
      <c r="B167" s="1">
        <v>18</v>
      </c>
      <c r="C167" s="1">
        <v>8</v>
      </c>
      <c r="D167" s="5" t="s">
        <v>7</v>
      </c>
      <c r="E167" s="1">
        <v>23500</v>
      </c>
      <c r="F167" s="4" t="s">
        <v>14</v>
      </c>
      <c r="G167" s="8" t="s">
        <v>12</v>
      </c>
      <c r="H167" s="7" t="s">
        <v>15</v>
      </c>
    </row>
    <row r="168" spans="1:8" x14ac:dyDescent="0.3">
      <c r="A168" s="1">
        <v>167</v>
      </c>
      <c r="B168" s="1">
        <v>18</v>
      </c>
      <c r="C168" s="1">
        <v>8</v>
      </c>
      <c r="D168" s="5" t="s">
        <v>7</v>
      </c>
      <c r="E168" s="1">
        <v>33500</v>
      </c>
      <c r="F168" s="4" t="s">
        <v>8</v>
      </c>
      <c r="G168" s="4" t="s">
        <v>9</v>
      </c>
      <c r="H168" s="5" t="s">
        <v>10</v>
      </c>
    </row>
    <row r="169" spans="1:8" x14ac:dyDescent="0.3">
      <c r="A169" s="1">
        <v>168</v>
      </c>
      <c r="B169" s="1">
        <v>39</v>
      </c>
      <c r="C169" s="1">
        <v>8</v>
      </c>
      <c r="D169" s="5" t="s">
        <v>7</v>
      </c>
      <c r="E169" s="1">
        <v>77000</v>
      </c>
      <c r="F169" s="2" t="s">
        <v>19</v>
      </c>
      <c r="G169" s="8" t="s">
        <v>12</v>
      </c>
      <c r="H169" s="7" t="s">
        <v>15</v>
      </c>
    </row>
    <row r="170" spans="1:8" x14ac:dyDescent="0.3">
      <c r="A170" s="1">
        <v>169</v>
      </c>
      <c r="B170" s="1">
        <v>19</v>
      </c>
      <c r="C170" s="1">
        <v>7</v>
      </c>
      <c r="D170" s="5" t="s">
        <v>7</v>
      </c>
      <c r="E170" s="1">
        <v>22500</v>
      </c>
      <c r="F170" s="7" t="s">
        <v>16</v>
      </c>
      <c r="G170" s="8" t="s">
        <v>12</v>
      </c>
      <c r="H170" s="7" t="s">
        <v>15</v>
      </c>
    </row>
    <row r="171" spans="1:8" x14ac:dyDescent="0.3">
      <c r="A171" s="1">
        <v>170</v>
      </c>
      <c r="B171" s="1">
        <v>30</v>
      </c>
      <c r="C171" s="1">
        <v>7</v>
      </c>
      <c r="D171" s="5" t="s">
        <v>7</v>
      </c>
      <c r="E171" s="1">
        <v>22500</v>
      </c>
      <c r="F171" s="4" t="s">
        <v>8</v>
      </c>
      <c r="G171" s="4" t="s">
        <v>9</v>
      </c>
      <c r="H171" s="7" t="s">
        <v>15</v>
      </c>
    </row>
    <row r="172" spans="1:8" x14ac:dyDescent="0.3">
      <c r="A172" s="1">
        <v>171</v>
      </c>
      <c r="B172" s="1">
        <v>18</v>
      </c>
      <c r="C172" s="1">
        <v>7</v>
      </c>
      <c r="D172" s="1" t="s">
        <v>13</v>
      </c>
      <c r="E172" s="1">
        <v>27000</v>
      </c>
      <c r="F172" s="4" t="s">
        <v>8</v>
      </c>
      <c r="G172" s="4" t="s">
        <v>9</v>
      </c>
      <c r="H172" s="7" t="s">
        <v>15</v>
      </c>
    </row>
    <row r="173" spans="1:8" x14ac:dyDescent="0.3">
      <c r="A173" s="1">
        <v>172</v>
      </c>
      <c r="B173" s="1">
        <v>20</v>
      </c>
      <c r="C173" s="1">
        <v>7</v>
      </c>
      <c r="D173" s="5" t="s">
        <v>7</v>
      </c>
      <c r="E173" s="1">
        <v>32500</v>
      </c>
      <c r="F173" s="4" t="s">
        <v>14</v>
      </c>
      <c r="G173" s="8" t="s">
        <v>12</v>
      </c>
      <c r="H173" s="5" t="s">
        <v>10</v>
      </c>
    </row>
    <row r="174" spans="1:8" x14ac:dyDescent="0.3">
      <c r="A174" s="1">
        <v>173</v>
      </c>
      <c r="B174" s="1">
        <v>23</v>
      </c>
      <c r="C174" s="1">
        <v>7</v>
      </c>
      <c r="D174" s="5" t="s">
        <v>7</v>
      </c>
      <c r="E174" s="1">
        <v>39500</v>
      </c>
      <c r="F174" s="4" t="s">
        <v>8</v>
      </c>
      <c r="G174" s="4" t="s">
        <v>9</v>
      </c>
      <c r="H174" s="5" t="s">
        <v>10</v>
      </c>
    </row>
    <row r="175" spans="1:8" x14ac:dyDescent="0.3">
      <c r="A175" s="1">
        <v>174</v>
      </c>
      <c r="B175" s="1">
        <v>38</v>
      </c>
      <c r="C175" s="1">
        <v>7</v>
      </c>
      <c r="D175" s="5" t="s">
        <v>7</v>
      </c>
      <c r="E175" s="1">
        <v>93000</v>
      </c>
      <c r="F175" s="4" t="s">
        <v>8</v>
      </c>
      <c r="G175" s="4" t="s">
        <v>9</v>
      </c>
      <c r="H175" s="5" t="s">
        <v>10</v>
      </c>
    </row>
    <row r="176" spans="1:8" x14ac:dyDescent="0.3">
      <c r="A176" s="1">
        <v>175</v>
      </c>
      <c r="B176" s="1">
        <v>19</v>
      </c>
      <c r="C176" s="1">
        <v>6</v>
      </c>
      <c r="D176" s="5" t="s">
        <v>13</v>
      </c>
      <c r="E176" s="1">
        <v>23000</v>
      </c>
      <c r="F176" s="7" t="s">
        <v>16</v>
      </c>
      <c r="G176" s="8" t="s">
        <v>12</v>
      </c>
      <c r="H176" s="7" t="s">
        <v>15</v>
      </c>
    </row>
    <row r="177" spans="1:8" x14ac:dyDescent="0.3">
      <c r="A177" s="1">
        <v>176</v>
      </c>
      <c r="B177" s="1">
        <v>19</v>
      </c>
      <c r="C177" s="1">
        <v>5</v>
      </c>
      <c r="D177" s="5" t="s">
        <v>7</v>
      </c>
      <c r="E177" s="1">
        <v>20000</v>
      </c>
      <c r="F177" s="4" t="s">
        <v>14</v>
      </c>
      <c r="G177" s="8" t="s">
        <v>12</v>
      </c>
      <c r="H177" s="7" t="s">
        <v>15</v>
      </c>
    </row>
    <row r="178" spans="1:8" x14ac:dyDescent="0.3">
      <c r="A178" s="1">
        <v>177</v>
      </c>
      <c r="B178" s="1">
        <v>38</v>
      </c>
      <c r="C178" s="1">
        <v>5</v>
      </c>
      <c r="D178" s="5" t="s">
        <v>13</v>
      </c>
      <c r="E178" s="1">
        <v>20000</v>
      </c>
      <c r="F178" s="8" t="s">
        <v>11</v>
      </c>
      <c r="G178" s="8" t="s">
        <v>12</v>
      </c>
      <c r="H178" s="7" t="s">
        <v>15</v>
      </c>
    </row>
    <row r="179" spans="1:8" x14ac:dyDescent="0.3">
      <c r="A179" s="1">
        <v>178</v>
      </c>
      <c r="B179" s="1">
        <v>20</v>
      </c>
      <c r="C179" s="1">
        <v>5</v>
      </c>
      <c r="D179" s="1" t="s">
        <v>13</v>
      </c>
      <c r="E179" s="1">
        <v>20500</v>
      </c>
      <c r="F179" s="4" t="s">
        <v>14</v>
      </c>
      <c r="G179" s="8" t="s">
        <v>17</v>
      </c>
      <c r="H179" s="5" t="s">
        <v>10</v>
      </c>
    </row>
    <row r="180" spans="1:8" x14ac:dyDescent="0.3">
      <c r="A180" s="1">
        <v>179</v>
      </c>
      <c r="B180" s="1">
        <v>27</v>
      </c>
      <c r="C180" s="1">
        <v>5</v>
      </c>
      <c r="D180" s="5" t="s">
        <v>7</v>
      </c>
      <c r="E180" s="1">
        <v>20500</v>
      </c>
      <c r="F180" s="4" t="s">
        <v>8</v>
      </c>
      <c r="G180" s="4" t="s">
        <v>9</v>
      </c>
      <c r="H180" s="5" t="s">
        <v>10</v>
      </c>
    </row>
    <row r="181" spans="1:8" x14ac:dyDescent="0.3">
      <c r="A181" s="1">
        <v>180</v>
      </c>
      <c r="B181" s="1">
        <v>32</v>
      </c>
      <c r="C181" s="1">
        <v>5</v>
      </c>
      <c r="D181" s="5" t="s">
        <v>7</v>
      </c>
      <c r="E181" s="1">
        <v>20500</v>
      </c>
      <c r="F181" s="4" t="s">
        <v>8</v>
      </c>
      <c r="G181" s="4" t="s">
        <v>9</v>
      </c>
      <c r="H181" s="7" t="s">
        <v>15</v>
      </c>
    </row>
    <row r="182" spans="1:8" x14ac:dyDescent="0.3">
      <c r="A182" s="1">
        <v>181</v>
      </c>
      <c r="B182" s="1">
        <v>18</v>
      </c>
      <c r="C182" s="1">
        <v>5</v>
      </c>
      <c r="D182" s="5" t="s">
        <v>13</v>
      </c>
      <c r="E182" s="1">
        <v>22500</v>
      </c>
      <c r="F182" s="4" t="s">
        <v>20</v>
      </c>
      <c r="G182" s="4" t="s">
        <v>21</v>
      </c>
      <c r="H182" s="5" t="s">
        <v>10</v>
      </c>
    </row>
    <row r="183" spans="1:8" x14ac:dyDescent="0.3">
      <c r="A183" s="1">
        <v>182</v>
      </c>
      <c r="B183" s="1">
        <v>20</v>
      </c>
      <c r="C183" s="1">
        <v>4</v>
      </c>
      <c r="D183" s="5" t="s">
        <v>13</v>
      </c>
      <c r="E183" s="1">
        <v>25000</v>
      </c>
      <c r="F183" s="2" t="s">
        <v>16</v>
      </c>
      <c r="G183" s="8" t="s">
        <v>12</v>
      </c>
      <c r="H183" s="5" t="s">
        <v>10</v>
      </c>
    </row>
    <row r="184" spans="1:8" x14ac:dyDescent="0.3">
      <c r="A184" s="1">
        <v>183</v>
      </c>
      <c r="B184" s="1">
        <v>19</v>
      </c>
      <c r="C184" s="1">
        <v>3</v>
      </c>
      <c r="D184" s="5" t="s">
        <v>7</v>
      </c>
      <c r="E184" s="1">
        <v>24000</v>
      </c>
      <c r="F184" s="4" t="s">
        <v>8</v>
      </c>
      <c r="G184" s="4" t="s">
        <v>9</v>
      </c>
      <c r="H184" s="5" t="s">
        <v>10</v>
      </c>
    </row>
    <row r="185" spans="1:8" x14ac:dyDescent="0.3">
      <c r="A185" s="1">
        <v>184</v>
      </c>
      <c r="B185" s="1">
        <v>31</v>
      </c>
      <c r="C185" s="1">
        <v>1</v>
      </c>
      <c r="D185" s="5" t="s">
        <v>7</v>
      </c>
      <c r="E185" s="1">
        <v>92000</v>
      </c>
      <c r="F185" s="4" t="s">
        <v>14</v>
      </c>
      <c r="G185" s="8" t="s">
        <v>12</v>
      </c>
      <c r="H185" s="7" t="s">
        <v>15</v>
      </c>
    </row>
    <row r="187" spans="1:8" x14ac:dyDescent="0.3">
      <c r="G187" s="8"/>
    </row>
  </sheetData>
  <autoFilter ref="A1:V185" xr:uid="{00000000-0001-0000-0000-000000000000}">
    <sortState xmlns:xlrd2="http://schemas.microsoft.com/office/spreadsheetml/2017/richdata2" ref="A2:V185">
      <sortCondition ref="A1:A185"/>
    </sortState>
  </autoFilter>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0069-F9AF-4219-9B8D-E6F8A018449D}">
  <dimension ref="A4:K45"/>
  <sheetViews>
    <sheetView topLeftCell="C5" zoomScaleNormal="100" workbookViewId="0">
      <selection activeCell="G5" sqref="G5:G45"/>
    </sheetView>
  </sheetViews>
  <sheetFormatPr defaultRowHeight="12.5" x14ac:dyDescent="0.25"/>
  <cols>
    <col min="1" max="1" width="24.81640625" customWidth="1"/>
    <col min="2" max="2" width="41.6328125" customWidth="1"/>
    <col min="3" max="3" width="32.36328125" customWidth="1"/>
    <col min="4" max="4" width="49.54296875" customWidth="1"/>
    <col min="5" max="5" width="44.90625" customWidth="1"/>
    <col min="6" max="6" width="20.36328125" customWidth="1"/>
    <col min="7" max="7" width="24.54296875" customWidth="1"/>
    <col min="8" max="8" width="31.36328125" customWidth="1"/>
    <col min="9" max="9" width="32.08984375" customWidth="1"/>
    <col min="10" max="10" width="25.90625" customWidth="1"/>
  </cols>
  <sheetData>
    <row r="4" spans="1:11" x14ac:dyDescent="0.25">
      <c r="A4" t="s">
        <v>28</v>
      </c>
      <c r="B4" t="s">
        <v>29</v>
      </c>
      <c r="C4" t="s">
        <v>30</v>
      </c>
      <c r="D4" t="s">
        <v>31</v>
      </c>
      <c r="E4" t="s">
        <v>32</v>
      </c>
      <c r="F4" t="s">
        <v>33</v>
      </c>
      <c r="G4" t="s">
        <v>226</v>
      </c>
      <c r="H4" t="s">
        <v>227</v>
      </c>
      <c r="I4" t="s">
        <v>34</v>
      </c>
      <c r="J4" t="s">
        <v>35</v>
      </c>
      <c r="K4" t="s">
        <v>36</v>
      </c>
    </row>
    <row r="5" spans="1:11" x14ac:dyDescent="0.25">
      <c r="A5">
        <v>1</v>
      </c>
      <c r="B5" t="s">
        <v>37</v>
      </c>
      <c r="C5" t="s">
        <v>38</v>
      </c>
      <c r="D5" t="s">
        <v>39</v>
      </c>
      <c r="E5" t="s">
        <v>10</v>
      </c>
      <c r="F5" t="s">
        <v>40</v>
      </c>
      <c r="G5">
        <v>7</v>
      </c>
      <c r="H5">
        <v>9</v>
      </c>
      <c r="I5" t="s">
        <v>41</v>
      </c>
      <c r="J5" t="s">
        <v>42</v>
      </c>
      <c r="K5" t="s">
        <v>43</v>
      </c>
    </row>
    <row r="6" spans="1:11" x14ac:dyDescent="0.25">
      <c r="A6">
        <v>2</v>
      </c>
      <c r="B6" t="s">
        <v>44</v>
      </c>
      <c r="C6" t="s">
        <v>45</v>
      </c>
      <c r="D6" t="s">
        <v>46</v>
      </c>
      <c r="E6" t="s">
        <v>18</v>
      </c>
      <c r="F6" t="s">
        <v>47</v>
      </c>
      <c r="G6">
        <v>5</v>
      </c>
      <c r="H6">
        <v>9</v>
      </c>
      <c r="I6" t="s">
        <v>48</v>
      </c>
      <c r="J6" t="s">
        <v>49</v>
      </c>
      <c r="K6" t="s">
        <v>50</v>
      </c>
    </row>
    <row r="7" spans="1:11" x14ac:dyDescent="0.25">
      <c r="A7">
        <v>3</v>
      </c>
      <c r="B7" t="s">
        <v>51</v>
      </c>
      <c r="C7" t="s">
        <v>52</v>
      </c>
      <c r="D7" t="s">
        <v>53</v>
      </c>
      <c r="E7" t="s">
        <v>10</v>
      </c>
      <c r="F7" t="s">
        <v>54</v>
      </c>
      <c r="G7">
        <v>10</v>
      </c>
      <c r="H7">
        <v>9</v>
      </c>
      <c r="I7" t="s">
        <v>55</v>
      </c>
      <c r="J7" t="s">
        <v>56</v>
      </c>
      <c r="K7" t="s">
        <v>57</v>
      </c>
    </row>
    <row r="8" spans="1:11" x14ac:dyDescent="0.25">
      <c r="A8">
        <v>4</v>
      </c>
      <c r="B8" t="s">
        <v>58</v>
      </c>
      <c r="C8" t="s">
        <v>59</v>
      </c>
      <c r="D8" t="s">
        <v>39</v>
      </c>
      <c r="E8" t="s">
        <v>15</v>
      </c>
      <c r="F8" t="s">
        <v>47</v>
      </c>
      <c r="G8">
        <v>7</v>
      </c>
      <c r="H8">
        <v>1</v>
      </c>
      <c r="I8" t="s">
        <v>60</v>
      </c>
      <c r="J8" t="s">
        <v>61</v>
      </c>
      <c r="K8" t="s">
        <v>62</v>
      </c>
    </row>
    <row r="9" spans="1:11" x14ac:dyDescent="0.25">
      <c r="A9">
        <v>5</v>
      </c>
      <c r="B9" t="s">
        <v>63</v>
      </c>
      <c r="D9" t="s">
        <v>64</v>
      </c>
      <c r="E9" t="s">
        <v>15</v>
      </c>
      <c r="F9" t="s">
        <v>65</v>
      </c>
      <c r="G9">
        <v>6</v>
      </c>
      <c r="H9">
        <v>8</v>
      </c>
      <c r="I9" t="s">
        <v>66</v>
      </c>
      <c r="J9" t="s">
        <v>67</v>
      </c>
      <c r="K9" t="s">
        <v>68</v>
      </c>
    </row>
    <row r="10" spans="1:11" x14ac:dyDescent="0.25">
      <c r="A10">
        <v>6</v>
      </c>
      <c r="B10" t="s">
        <v>193</v>
      </c>
      <c r="C10" t="s">
        <v>194</v>
      </c>
      <c r="E10" t="s">
        <v>15</v>
      </c>
      <c r="F10" t="s">
        <v>156</v>
      </c>
      <c r="G10">
        <v>8</v>
      </c>
      <c r="H10">
        <v>5</v>
      </c>
      <c r="I10" t="s">
        <v>195</v>
      </c>
      <c r="J10" t="s">
        <v>196</v>
      </c>
      <c r="K10" t="s">
        <v>197</v>
      </c>
    </row>
    <row r="11" spans="1:11" ht="62.5" x14ac:dyDescent="0.25">
      <c r="A11">
        <v>7</v>
      </c>
      <c r="B11" t="s">
        <v>63</v>
      </c>
      <c r="C11" t="s">
        <v>52</v>
      </c>
      <c r="E11" t="s">
        <v>10</v>
      </c>
      <c r="F11" t="s">
        <v>65</v>
      </c>
      <c r="G11">
        <v>8</v>
      </c>
      <c r="H11">
        <v>9</v>
      </c>
      <c r="I11" s="15" t="s">
        <v>230</v>
      </c>
      <c r="J11" s="15" t="s">
        <v>231</v>
      </c>
      <c r="K11" t="s">
        <v>198</v>
      </c>
    </row>
    <row r="12" spans="1:11" ht="100" x14ac:dyDescent="0.25">
      <c r="A12">
        <v>8</v>
      </c>
      <c r="B12" t="s">
        <v>199</v>
      </c>
      <c r="C12" t="s">
        <v>110</v>
      </c>
      <c r="E12" t="s">
        <v>18</v>
      </c>
      <c r="F12" t="s">
        <v>200</v>
      </c>
      <c r="G12">
        <v>7</v>
      </c>
      <c r="H12">
        <v>8</v>
      </c>
      <c r="I12" t="s">
        <v>201</v>
      </c>
      <c r="J12" s="15" t="s">
        <v>232</v>
      </c>
      <c r="K12" t="s">
        <v>202</v>
      </c>
    </row>
    <row r="13" spans="1:11" x14ac:dyDescent="0.25">
      <c r="A13">
        <v>9</v>
      </c>
      <c r="E13" t="s">
        <v>15</v>
      </c>
      <c r="F13" t="s">
        <v>203</v>
      </c>
      <c r="G13">
        <v>9</v>
      </c>
      <c r="H13">
        <v>7</v>
      </c>
      <c r="I13" t="s">
        <v>204</v>
      </c>
      <c r="J13" t="s">
        <v>205</v>
      </c>
      <c r="K13" t="s">
        <v>206</v>
      </c>
    </row>
    <row r="14" spans="1:11" x14ac:dyDescent="0.25">
      <c r="A14">
        <v>10</v>
      </c>
      <c r="E14" t="s">
        <v>15</v>
      </c>
      <c r="F14" t="s">
        <v>207</v>
      </c>
      <c r="G14">
        <v>8</v>
      </c>
      <c r="H14">
        <v>9</v>
      </c>
      <c r="I14" t="s">
        <v>208</v>
      </c>
      <c r="J14" t="s">
        <v>208</v>
      </c>
      <c r="K14" t="s">
        <v>209</v>
      </c>
    </row>
    <row r="15" spans="1:11" x14ac:dyDescent="0.25">
      <c r="A15">
        <v>11</v>
      </c>
      <c r="B15" t="s">
        <v>69</v>
      </c>
      <c r="D15" t="s">
        <v>70</v>
      </c>
      <c r="E15" t="s">
        <v>10</v>
      </c>
      <c r="F15" t="s">
        <v>71</v>
      </c>
      <c r="G15">
        <v>8</v>
      </c>
      <c r="H15">
        <v>8</v>
      </c>
      <c r="I15" t="s">
        <v>72</v>
      </c>
      <c r="J15" t="s">
        <v>73</v>
      </c>
      <c r="K15" t="s">
        <v>74</v>
      </c>
    </row>
    <row r="16" spans="1:11" x14ac:dyDescent="0.25">
      <c r="A16">
        <v>12</v>
      </c>
      <c r="E16" t="s">
        <v>15</v>
      </c>
      <c r="F16" t="s">
        <v>71</v>
      </c>
      <c r="G16">
        <v>7</v>
      </c>
      <c r="H16">
        <v>5</v>
      </c>
      <c r="I16" t="s">
        <v>210</v>
      </c>
      <c r="J16" t="s">
        <v>211</v>
      </c>
      <c r="K16" t="s">
        <v>212</v>
      </c>
    </row>
    <row r="17" spans="1:11" x14ac:dyDescent="0.25">
      <c r="A17">
        <v>13</v>
      </c>
      <c r="C17" t="s">
        <v>52</v>
      </c>
      <c r="D17" t="s">
        <v>64</v>
      </c>
      <c r="E17" t="s">
        <v>15</v>
      </c>
      <c r="F17" t="s">
        <v>54</v>
      </c>
      <c r="G17">
        <v>7</v>
      </c>
      <c r="H17">
        <v>8</v>
      </c>
      <c r="I17" t="s">
        <v>75</v>
      </c>
      <c r="J17" t="s">
        <v>76</v>
      </c>
      <c r="K17" t="s">
        <v>77</v>
      </c>
    </row>
    <row r="18" spans="1:11" x14ac:dyDescent="0.25">
      <c r="A18">
        <v>14</v>
      </c>
      <c r="B18" t="s">
        <v>78</v>
      </c>
      <c r="C18" t="s">
        <v>45</v>
      </c>
      <c r="D18" t="s">
        <v>39</v>
      </c>
      <c r="E18" t="s">
        <v>15</v>
      </c>
      <c r="F18" t="s">
        <v>79</v>
      </c>
      <c r="G18">
        <v>6</v>
      </c>
      <c r="H18">
        <v>8</v>
      </c>
      <c r="I18" t="s">
        <v>80</v>
      </c>
      <c r="J18" t="s">
        <v>81</v>
      </c>
      <c r="K18" t="s">
        <v>82</v>
      </c>
    </row>
    <row r="19" spans="1:11" x14ac:dyDescent="0.25">
      <c r="A19">
        <v>15</v>
      </c>
      <c r="B19" t="s">
        <v>83</v>
      </c>
      <c r="C19" t="s">
        <v>84</v>
      </c>
      <c r="D19" t="s">
        <v>70</v>
      </c>
      <c r="E19" t="s">
        <v>18</v>
      </c>
      <c r="F19" t="s">
        <v>85</v>
      </c>
      <c r="G19">
        <v>9</v>
      </c>
      <c r="H19">
        <v>6</v>
      </c>
      <c r="I19" t="s">
        <v>86</v>
      </c>
      <c r="J19" t="s">
        <v>87</v>
      </c>
      <c r="K19" t="s">
        <v>88</v>
      </c>
    </row>
    <row r="20" spans="1:11" x14ac:dyDescent="0.25">
      <c r="A20">
        <v>16</v>
      </c>
      <c r="B20" t="s">
        <v>89</v>
      </c>
      <c r="C20" t="s">
        <v>45</v>
      </c>
      <c r="D20" t="s">
        <v>90</v>
      </c>
      <c r="E20" t="s">
        <v>10</v>
      </c>
      <c r="F20" t="s">
        <v>91</v>
      </c>
      <c r="G20">
        <v>10</v>
      </c>
      <c r="H20">
        <v>6</v>
      </c>
      <c r="I20" t="s">
        <v>92</v>
      </c>
      <c r="J20" t="s">
        <v>93</v>
      </c>
      <c r="K20" t="s">
        <v>94</v>
      </c>
    </row>
    <row r="21" spans="1:11" x14ac:dyDescent="0.25">
      <c r="A21">
        <v>17</v>
      </c>
      <c r="B21" t="s">
        <v>95</v>
      </c>
      <c r="C21" t="s">
        <v>59</v>
      </c>
      <c r="D21" t="s">
        <v>70</v>
      </c>
      <c r="E21" t="s">
        <v>15</v>
      </c>
      <c r="F21" t="s">
        <v>96</v>
      </c>
      <c r="G21">
        <v>9</v>
      </c>
      <c r="H21">
        <v>10</v>
      </c>
      <c r="I21" t="s">
        <v>97</v>
      </c>
      <c r="J21" t="s">
        <v>98</v>
      </c>
      <c r="K21" t="s">
        <v>99</v>
      </c>
    </row>
    <row r="22" spans="1:11" x14ac:dyDescent="0.25">
      <c r="A22">
        <v>18</v>
      </c>
      <c r="B22" t="s">
        <v>213</v>
      </c>
      <c r="C22" t="s">
        <v>120</v>
      </c>
      <c r="E22" t="s">
        <v>10</v>
      </c>
      <c r="F22" t="s">
        <v>214</v>
      </c>
      <c r="G22">
        <v>10</v>
      </c>
      <c r="H22">
        <v>9</v>
      </c>
      <c r="I22" t="s">
        <v>215</v>
      </c>
      <c r="J22" t="s">
        <v>216</v>
      </c>
      <c r="K22" t="s">
        <v>217</v>
      </c>
    </row>
    <row r="23" spans="1:11" x14ac:dyDescent="0.25">
      <c r="A23">
        <v>19</v>
      </c>
      <c r="E23" t="s">
        <v>18</v>
      </c>
      <c r="F23" t="s">
        <v>203</v>
      </c>
      <c r="G23">
        <v>8</v>
      </c>
      <c r="H23">
        <v>6</v>
      </c>
      <c r="I23" t="s">
        <v>218</v>
      </c>
      <c r="J23" t="s">
        <v>219</v>
      </c>
      <c r="K23" t="s">
        <v>220</v>
      </c>
    </row>
    <row r="24" spans="1:11" ht="409.5" x14ac:dyDescent="0.25">
      <c r="A24">
        <v>20</v>
      </c>
      <c r="B24" t="s">
        <v>63</v>
      </c>
      <c r="C24" t="s">
        <v>52</v>
      </c>
      <c r="D24" t="s">
        <v>53</v>
      </c>
      <c r="E24" t="s">
        <v>18</v>
      </c>
      <c r="F24" t="s">
        <v>100</v>
      </c>
      <c r="G24">
        <v>5</v>
      </c>
      <c r="H24">
        <v>5</v>
      </c>
      <c r="I24" s="15" t="s">
        <v>233</v>
      </c>
      <c r="J24" s="15" t="s">
        <v>234</v>
      </c>
      <c r="K24" s="15" t="s">
        <v>235</v>
      </c>
    </row>
    <row r="25" spans="1:11" x14ac:dyDescent="0.25">
      <c r="A25">
        <v>21</v>
      </c>
      <c r="B25" t="s">
        <v>221</v>
      </c>
      <c r="C25" t="s">
        <v>59</v>
      </c>
      <c r="E25" t="s">
        <v>10</v>
      </c>
      <c r="F25" t="s">
        <v>71</v>
      </c>
      <c r="G25">
        <v>8</v>
      </c>
      <c r="H25">
        <v>8</v>
      </c>
      <c r="I25" t="s">
        <v>222</v>
      </c>
      <c r="J25" t="s">
        <v>223</v>
      </c>
      <c r="K25" t="s">
        <v>224</v>
      </c>
    </row>
    <row r="26" spans="1:11" ht="62.5" x14ac:dyDescent="0.25">
      <c r="A26">
        <v>22</v>
      </c>
      <c r="B26" t="s">
        <v>101</v>
      </c>
      <c r="C26" t="s">
        <v>38</v>
      </c>
      <c r="D26" t="s">
        <v>64</v>
      </c>
      <c r="E26" t="s">
        <v>10</v>
      </c>
      <c r="F26" t="s">
        <v>71</v>
      </c>
      <c r="G26">
        <v>10</v>
      </c>
      <c r="H26">
        <v>10</v>
      </c>
      <c r="I26" s="15" t="s">
        <v>236</v>
      </c>
      <c r="J26" s="15" t="s">
        <v>237</v>
      </c>
      <c r="K26" s="15" t="s">
        <v>238</v>
      </c>
    </row>
    <row r="27" spans="1:11" x14ac:dyDescent="0.25">
      <c r="A27">
        <v>23</v>
      </c>
      <c r="B27" t="s">
        <v>103</v>
      </c>
      <c r="C27" t="s">
        <v>104</v>
      </c>
      <c r="D27" t="s">
        <v>90</v>
      </c>
      <c r="E27" t="s">
        <v>10</v>
      </c>
      <c r="F27" t="s">
        <v>105</v>
      </c>
      <c r="G27">
        <v>8</v>
      </c>
      <c r="H27">
        <v>6</v>
      </c>
      <c r="I27" t="s">
        <v>106</v>
      </c>
      <c r="J27" t="s">
        <v>107</v>
      </c>
      <c r="K27" t="s">
        <v>108</v>
      </c>
    </row>
    <row r="28" spans="1:11" x14ac:dyDescent="0.25">
      <c r="A28">
        <v>24</v>
      </c>
      <c r="B28" t="s">
        <v>109</v>
      </c>
      <c r="C28" t="s">
        <v>110</v>
      </c>
      <c r="D28" t="s">
        <v>90</v>
      </c>
      <c r="E28" t="s">
        <v>15</v>
      </c>
      <c r="F28" t="s">
        <v>111</v>
      </c>
      <c r="G28">
        <v>10</v>
      </c>
      <c r="H28">
        <v>10</v>
      </c>
      <c r="I28" t="s">
        <v>112</v>
      </c>
      <c r="J28" t="s">
        <v>113</v>
      </c>
      <c r="K28" t="s">
        <v>114</v>
      </c>
    </row>
    <row r="29" spans="1:11" x14ac:dyDescent="0.25">
      <c r="A29">
        <v>25</v>
      </c>
      <c r="B29" t="s">
        <v>115</v>
      </c>
      <c r="C29" t="s">
        <v>45</v>
      </c>
      <c r="D29" t="s">
        <v>39</v>
      </c>
      <c r="E29" t="s">
        <v>15</v>
      </c>
      <c r="F29" t="s">
        <v>47</v>
      </c>
      <c r="G29">
        <v>2</v>
      </c>
      <c r="H29">
        <v>3</v>
      </c>
      <c r="I29" t="s">
        <v>116</v>
      </c>
      <c r="J29" t="s">
        <v>117</v>
      </c>
      <c r="K29" t="s">
        <v>118</v>
      </c>
    </row>
    <row r="30" spans="1:11" x14ac:dyDescent="0.25">
      <c r="A30">
        <v>26</v>
      </c>
      <c r="B30" t="s">
        <v>119</v>
      </c>
      <c r="C30" t="s">
        <v>120</v>
      </c>
      <c r="D30" t="s">
        <v>121</v>
      </c>
      <c r="E30" t="s">
        <v>10</v>
      </c>
      <c r="F30" t="s">
        <v>122</v>
      </c>
      <c r="G30">
        <v>6</v>
      </c>
      <c r="H30">
        <v>7</v>
      </c>
      <c r="I30" t="s">
        <v>228</v>
      </c>
      <c r="J30" t="s">
        <v>123</v>
      </c>
      <c r="K30" t="s">
        <v>124</v>
      </c>
    </row>
    <row r="31" spans="1:11" x14ac:dyDescent="0.25">
      <c r="A31">
        <v>27</v>
      </c>
      <c r="B31" t="s">
        <v>125</v>
      </c>
      <c r="C31" t="s">
        <v>126</v>
      </c>
      <c r="D31" t="s">
        <v>90</v>
      </c>
      <c r="F31" t="s">
        <v>127</v>
      </c>
      <c r="G31">
        <v>10</v>
      </c>
      <c r="H31">
        <v>10</v>
      </c>
      <c r="I31" t="s">
        <v>128</v>
      </c>
      <c r="J31" t="s">
        <v>129</v>
      </c>
      <c r="K31" t="s">
        <v>130</v>
      </c>
    </row>
    <row r="32" spans="1:11" ht="37.5" x14ac:dyDescent="0.25">
      <c r="A32">
        <v>28</v>
      </c>
      <c r="B32" t="s">
        <v>131</v>
      </c>
      <c r="C32" t="s">
        <v>59</v>
      </c>
      <c r="D32" t="s">
        <v>90</v>
      </c>
      <c r="E32" t="s">
        <v>15</v>
      </c>
      <c r="F32" t="s">
        <v>132</v>
      </c>
      <c r="G32">
        <v>3</v>
      </c>
      <c r="H32">
        <v>7</v>
      </c>
      <c r="I32" t="s">
        <v>133</v>
      </c>
      <c r="J32" t="s">
        <v>134</v>
      </c>
      <c r="K32" s="15" t="s">
        <v>239</v>
      </c>
    </row>
    <row r="33" spans="1:11" x14ac:dyDescent="0.25">
      <c r="A33">
        <v>29</v>
      </c>
      <c r="B33" t="s">
        <v>135</v>
      </c>
      <c r="C33" t="s">
        <v>52</v>
      </c>
      <c r="D33" t="s">
        <v>136</v>
      </c>
      <c r="E33" t="s">
        <v>10</v>
      </c>
      <c r="F33" t="s">
        <v>137</v>
      </c>
      <c r="G33">
        <v>7</v>
      </c>
      <c r="H33">
        <v>9</v>
      </c>
    </row>
    <row r="34" spans="1:11" x14ac:dyDescent="0.25">
      <c r="A34">
        <v>30</v>
      </c>
      <c r="B34" t="s">
        <v>138</v>
      </c>
      <c r="C34" t="s">
        <v>120</v>
      </c>
      <c r="D34" t="s">
        <v>139</v>
      </c>
      <c r="E34" t="s">
        <v>15</v>
      </c>
      <c r="F34" t="s">
        <v>54</v>
      </c>
      <c r="G34">
        <v>9</v>
      </c>
      <c r="H34">
        <v>5</v>
      </c>
      <c r="I34" t="s">
        <v>140</v>
      </c>
      <c r="J34" t="s">
        <v>141</v>
      </c>
      <c r="K34" t="s">
        <v>142</v>
      </c>
    </row>
    <row r="35" spans="1:11" x14ac:dyDescent="0.25">
      <c r="A35">
        <v>31</v>
      </c>
      <c r="B35" t="s">
        <v>143</v>
      </c>
      <c r="C35" t="s">
        <v>144</v>
      </c>
      <c r="D35" t="s">
        <v>145</v>
      </c>
      <c r="E35" t="s">
        <v>10</v>
      </c>
      <c r="F35" t="s">
        <v>71</v>
      </c>
      <c r="G35">
        <v>4</v>
      </c>
      <c r="H35">
        <v>8</v>
      </c>
      <c r="I35" t="s">
        <v>146</v>
      </c>
      <c r="J35" t="s">
        <v>147</v>
      </c>
      <c r="K35" t="s">
        <v>148</v>
      </c>
    </row>
    <row r="36" spans="1:11" x14ac:dyDescent="0.25">
      <c r="A36">
        <v>32</v>
      </c>
      <c r="B36" t="s">
        <v>149</v>
      </c>
      <c r="C36" t="s">
        <v>52</v>
      </c>
      <c r="D36" t="s">
        <v>64</v>
      </c>
      <c r="E36" t="s">
        <v>10</v>
      </c>
      <c r="F36" t="s">
        <v>150</v>
      </c>
      <c r="G36">
        <v>8</v>
      </c>
      <c r="H36">
        <v>9</v>
      </c>
      <c r="I36" t="s">
        <v>151</v>
      </c>
      <c r="J36" t="s">
        <v>152</v>
      </c>
      <c r="K36" t="s">
        <v>153</v>
      </c>
    </row>
    <row r="37" spans="1:11" x14ac:dyDescent="0.25">
      <c r="A37">
        <v>33</v>
      </c>
      <c r="B37" t="s">
        <v>154</v>
      </c>
      <c r="C37" t="s">
        <v>155</v>
      </c>
      <c r="D37" t="s">
        <v>39</v>
      </c>
      <c r="E37" t="s">
        <v>10</v>
      </c>
      <c r="F37" t="s">
        <v>156</v>
      </c>
      <c r="G37">
        <v>4</v>
      </c>
      <c r="H37">
        <v>9</v>
      </c>
      <c r="I37" t="s">
        <v>157</v>
      </c>
      <c r="J37" t="s">
        <v>158</v>
      </c>
      <c r="K37" t="s">
        <v>159</v>
      </c>
    </row>
    <row r="38" spans="1:11" x14ac:dyDescent="0.25">
      <c r="A38">
        <v>34</v>
      </c>
      <c r="B38" t="s">
        <v>160</v>
      </c>
      <c r="C38" t="s">
        <v>120</v>
      </c>
      <c r="D38" t="s">
        <v>64</v>
      </c>
      <c r="E38" t="s">
        <v>10</v>
      </c>
      <c r="F38" t="s">
        <v>47</v>
      </c>
      <c r="G38">
        <v>8</v>
      </c>
      <c r="H38">
        <v>8</v>
      </c>
      <c r="I38" t="s">
        <v>161</v>
      </c>
      <c r="J38" t="s">
        <v>162</v>
      </c>
      <c r="K38" t="s">
        <v>163</v>
      </c>
    </row>
    <row r="39" spans="1:11" x14ac:dyDescent="0.25">
      <c r="A39">
        <v>35</v>
      </c>
      <c r="B39" t="s">
        <v>164</v>
      </c>
      <c r="C39" t="s">
        <v>155</v>
      </c>
      <c r="D39" t="s">
        <v>165</v>
      </c>
      <c r="E39" t="s">
        <v>10</v>
      </c>
      <c r="F39" t="s">
        <v>54</v>
      </c>
      <c r="G39">
        <v>8</v>
      </c>
      <c r="H39">
        <v>8</v>
      </c>
      <c r="I39" t="s">
        <v>166</v>
      </c>
      <c r="J39" t="s">
        <v>167</v>
      </c>
      <c r="K39" t="s">
        <v>168</v>
      </c>
    </row>
    <row r="40" spans="1:11" x14ac:dyDescent="0.25">
      <c r="A40">
        <v>36</v>
      </c>
      <c r="B40" t="s">
        <v>169</v>
      </c>
      <c r="C40" t="s">
        <v>155</v>
      </c>
      <c r="D40" t="s">
        <v>90</v>
      </c>
      <c r="E40" t="s">
        <v>15</v>
      </c>
      <c r="F40" t="s">
        <v>54</v>
      </c>
      <c r="G40">
        <v>5</v>
      </c>
      <c r="H40">
        <v>6</v>
      </c>
      <c r="I40" t="s">
        <v>170</v>
      </c>
      <c r="J40" t="s">
        <v>171</v>
      </c>
      <c r="K40" t="s">
        <v>240</v>
      </c>
    </row>
    <row r="41" spans="1:11" x14ac:dyDescent="0.25">
      <c r="A41">
        <v>37</v>
      </c>
      <c r="B41" t="s">
        <v>172</v>
      </c>
      <c r="C41" t="s">
        <v>45</v>
      </c>
      <c r="D41" t="s">
        <v>64</v>
      </c>
      <c r="E41" t="s">
        <v>10</v>
      </c>
      <c r="F41" t="s">
        <v>173</v>
      </c>
      <c r="G41">
        <v>10</v>
      </c>
      <c r="H41">
        <v>10</v>
      </c>
      <c r="I41" t="s">
        <v>174</v>
      </c>
      <c r="J41" t="s">
        <v>175</v>
      </c>
      <c r="K41" t="s">
        <v>176</v>
      </c>
    </row>
    <row r="42" spans="1:11" x14ac:dyDescent="0.25">
      <c r="A42">
        <v>38</v>
      </c>
      <c r="B42" t="s">
        <v>177</v>
      </c>
      <c r="C42" t="s">
        <v>84</v>
      </c>
      <c r="D42" t="s">
        <v>90</v>
      </c>
      <c r="E42" t="s">
        <v>10</v>
      </c>
      <c r="F42" t="s">
        <v>178</v>
      </c>
      <c r="G42">
        <v>8</v>
      </c>
      <c r="H42">
        <v>8</v>
      </c>
      <c r="I42" t="s">
        <v>102</v>
      </c>
      <c r="K42" t="s">
        <v>179</v>
      </c>
    </row>
    <row r="43" spans="1:11" x14ac:dyDescent="0.25">
      <c r="A43">
        <v>39</v>
      </c>
      <c r="B43" t="s">
        <v>180</v>
      </c>
      <c r="C43" t="s">
        <v>110</v>
      </c>
      <c r="D43" t="s">
        <v>121</v>
      </c>
      <c r="E43" t="s">
        <v>18</v>
      </c>
      <c r="F43" t="s">
        <v>156</v>
      </c>
      <c r="G43">
        <v>10</v>
      </c>
      <c r="H43">
        <v>6</v>
      </c>
      <c r="I43" t="s">
        <v>181</v>
      </c>
      <c r="J43" t="s">
        <v>182</v>
      </c>
      <c r="K43" t="s">
        <v>183</v>
      </c>
    </row>
    <row r="44" spans="1:11" x14ac:dyDescent="0.25">
      <c r="A44">
        <v>40</v>
      </c>
      <c r="B44" t="s">
        <v>184</v>
      </c>
      <c r="C44" t="s">
        <v>110</v>
      </c>
      <c r="D44" t="s">
        <v>185</v>
      </c>
      <c r="E44" t="s">
        <v>10</v>
      </c>
      <c r="F44" t="s">
        <v>186</v>
      </c>
      <c r="G44">
        <v>7</v>
      </c>
      <c r="H44">
        <v>8</v>
      </c>
      <c r="I44" t="s">
        <v>187</v>
      </c>
      <c r="J44" t="s">
        <v>188</v>
      </c>
      <c r="K44" t="s">
        <v>189</v>
      </c>
    </row>
    <row r="45" spans="1:11" x14ac:dyDescent="0.25">
      <c r="A45">
        <v>41</v>
      </c>
      <c r="B45" t="s">
        <v>190</v>
      </c>
      <c r="C45" t="s">
        <v>104</v>
      </c>
      <c r="D45" t="s">
        <v>139</v>
      </c>
      <c r="E45" t="s">
        <v>10</v>
      </c>
      <c r="F45" t="s">
        <v>186</v>
      </c>
      <c r="G45">
        <v>6</v>
      </c>
      <c r="H45">
        <v>8</v>
      </c>
      <c r="I45" t="s">
        <v>191</v>
      </c>
      <c r="J45" t="s">
        <v>158</v>
      </c>
      <c r="K45"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E5EE-DA62-44E3-A4D2-B601AD120C5B}">
  <dimension ref="B2:D60"/>
  <sheetViews>
    <sheetView topLeftCell="A42" workbookViewId="0">
      <selection activeCell="F31" sqref="F31"/>
    </sheetView>
  </sheetViews>
  <sheetFormatPr defaultRowHeight="12.5" x14ac:dyDescent="0.25"/>
  <cols>
    <col min="2" max="2" width="30.90625" customWidth="1"/>
    <col min="3" max="3" width="37.54296875" customWidth="1"/>
    <col min="4" max="4" width="71.81640625" customWidth="1"/>
    <col min="7" max="7" width="8.7265625" customWidth="1"/>
  </cols>
  <sheetData>
    <row r="2" spans="3:4" ht="13" x14ac:dyDescent="0.3">
      <c r="C2" s="11"/>
      <c r="D2" s="11" t="s">
        <v>229</v>
      </c>
    </row>
    <row r="3" spans="3:4" ht="13" x14ac:dyDescent="0.3">
      <c r="C3" s="11" t="s">
        <v>10</v>
      </c>
      <c r="D3" s="11">
        <f>COUNTIF('Raw Data'!H2:H185, "Apple")</f>
        <v>82</v>
      </c>
    </row>
    <row r="4" spans="3:4" ht="13" x14ac:dyDescent="0.3">
      <c r="C4" s="11" t="s">
        <v>15</v>
      </c>
      <c r="D4" s="11">
        <f>COUNTIF('Raw Data'!H2:H185, "Android")</f>
        <v>85</v>
      </c>
    </row>
    <row r="5" spans="3:4" ht="13" x14ac:dyDescent="0.3">
      <c r="C5" s="11" t="s">
        <v>18</v>
      </c>
      <c r="D5" s="11">
        <f>COUNTIF('Raw Data'!H2:H185, "No Preference")</f>
        <v>17</v>
      </c>
    </row>
    <row r="25" spans="3:4" x14ac:dyDescent="0.25">
      <c r="C25" s="14"/>
      <c r="D25" s="14" t="s">
        <v>241</v>
      </c>
    </row>
    <row r="26" spans="3:4" x14ac:dyDescent="0.25">
      <c r="C26" s="14" t="s">
        <v>10</v>
      </c>
      <c r="D26" s="13">
        <f>COUNTIF('Primary Research Data'!E5:E45, "Apple")</f>
        <v>20</v>
      </c>
    </row>
    <row r="27" spans="3:4" x14ac:dyDescent="0.25">
      <c r="C27" s="14" t="s">
        <v>15</v>
      </c>
      <c r="D27" s="13">
        <f>COUNTIF('Primary Research Data'!E5:E45, "Android")</f>
        <v>14</v>
      </c>
    </row>
    <row r="28" spans="3:4" x14ac:dyDescent="0.25">
      <c r="C28" s="14" t="s">
        <v>18</v>
      </c>
      <c r="D28" s="13">
        <f>COUNTIF('Primary Research Data'!E5:E45, "No Preference")</f>
        <v>6</v>
      </c>
    </row>
    <row r="29" spans="3:4" x14ac:dyDescent="0.25">
      <c r="C29" s="14" t="s">
        <v>225</v>
      </c>
      <c r="D29" s="13">
        <f>COUNTIF('Primary Research Data'!E5:E45, "")</f>
        <v>1</v>
      </c>
    </row>
    <row r="31" spans="3:4" ht="100" x14ac:dyDescent="0.25">
      <c r="C31" s="24" t="s">
        <v>243</v>
      </c>
      <c r="D31" s="23" t="s">
        <v>242</v>
      </c>
    </row>
    <row r="32" spans="3:4" x14ac:dyDescent="0.25">
      <c r="C32" s="12"/>
    </row>
    <row r="33" spans="2:4" x14ac:dyDescent="0.25">
      <c r="C33" s="14" t="s">
        <v>249</v>
      </c>
      <c r="D33" s="14" t="s">
        <v>245</v>
      </c>
    </row>
    <row r="34" spans="2:4" x14ac:dyDescent="0.25">
      <c r="B34" s="12"/>
      <c r="C34" s="14" t="s">
        <v>244</v>
      </c>
      <c r="D34" s="13">
        <f>COUNTIF('Raw Data'!D2:D185, "Male")</f>
        <v>132</v>
      </c>
    </row>
    <row r="35" spans="2:4" x14ac:dyDescent="0.25">
      <c r="B35" s="12"/>
      <c r="C35" s="14" t="s">
        <v>13</v>
      </c>
      <c r="D35" s="13">
        <f>COUNTIF('Raw Data'!D2:D185, "Female")</f>
        <v>51</v>
      </c>
    </row>
    <row r="36" spans="2:4" x14ac:dyDescent="0.25">
      <c r="C36" s="14" t="s">
        <v>22</v>
      </c>
      <c r="D36" s="13">
        <f>COUNTIF('Raw Data'!D2:D185, "Non-binary")</f>
        <v>1</v>
      </c>
    </row>
    <row r="58" spans="3:4" x14ac:dyDescent="0.25">
      <c r="C58" s="14" t="s">
        <v>246</v>
      </c>
      <c r="D58" s="13">
        <f>COUNT('Raw Data'!A2:A185)</f>
        <v>184</v>
      </c>
    </row>
    <row r="59" spans="3:4" x14ac:dyDescent="0.25">
      <c r="C59" s="14" t="s">
        <v>247</v>
      </c>
      <c r="D59" s="13">
        <f>COUNTIF('Raw Data'!B2:B185, "&lt;=30")</f>
        <v>91</v>
      </c>
    </row>
    <row r="60" spans="3:4" x14ac:dyDescent="0.25">
      <c r="C60" s="14" t="s">
        <v>248</v>
      </c>
      <c r="D60" s="16">
        <f>((D59/D58)*100)</f>
        <v>49.45652173913043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AEE9-7C11-4924-AEEE-713B5C7C8B83}">
  <dimension ref="A2:I17"/>
  <sheetViews>
    <sheetView workbookViewId="0">
      <selection activeCell="D27" sqref="D27"/>
    </sheetView>
  </sheetViews>
  <sheetFormatPr defaultRowHeight="12.5" x14ac:dyDescent="0.25"/>
  <cols>
    <col min="1" max="1" width="31.6328125" customWidth="1"/>
    <col min="2" max="2" width="64" customWidth="1"/>
    <col min="3" max="3" width="27.7265625" customWidth="1"/>
    <col min="4" max="4" width="16.90625" customWidth="1"/>
    <col min="5" max="5" width="17.90625" customWidth="1"/>
    <col min="6" max="6" width="14.08984375" customWidth="1"/>
    <col min="7" max="7" width="24.26953125" customWidth="1"/>
    <col min="9" max="9" width="21" customWidth="1"/>
    <col min="10" max="10" width="21.453125" customWidth="1"/>
  </cols>
  <sheetData>
    <row r="2" spans="1:9" x14ac:dyDescent="0.25">
      <c r="C2" t="s">
        <v>4</v>
      </c>
    </row>
    <row r="3" spans="1:9" ht="13" x14ac:dyDescent="0.3">
      <c r="B3" s="13"/>
      <c r="C3" s="13" t="s">
        <v>21</v>
      </c>
      <c r="D3" s="13" t="s">
        <v>17</v>
      </c>
      <c r="E3" s="13" t="s">
        <v>9</v>
      </c>
      <c r="F3" s="13" t="s">
        <v>12</v>
      </c>
      <c r="G3" s="17" t="s">
        <v>250</v>
      </c>
      <c r="I3" s="18"/>
    </row>
    <row r="4" spans="1:9" x14ac:dyDescent="0.25">
      <c r="A4" t="s">
        <v>5</v>
      </c>
      <c r="B4" s="13" t="s">
        <v>25</v>
      </c>
      <c r="C4" s="13">
        <f>COUNTIFS('Raw Data'!$F$2:$F$185, "Acer", 'Raw Data'!$G$2:$G$185, "Chrome OS")</f>
        <v>0</v>
      </c>
      <c r="D4" s="13">
        <f>COUNTIFS('Raw Data'!$F$2:$F$185, "Acer", 'Raw Data'!$G$2:$G$185, "Linux")</f>
        <v>0</v>
      </c>
      <c r="E4" s="13">
        <f>COUNTIFS('Raw Data'!$F$2:$F$185, "Acer", 'Raw Data'!$G$2:$G$185, "MacOS")</f>
        <v>0</v>
      </c>
      <c r="F4" s="13">
        <f>COUNTIFS('Raw Data'!$F$2:$F$185, "Acer", 'Raw Data'!$G$2:$G$185, "Windows")</f>
        <v>2</v>
      </c>
      <c r="G4" s="13">
        <f>SUM($C$4:$F$4)</f>
        <v>2</v>
      </c>
    </row>
    <row r="5" spans="1:9" x14ac:dyDescent="0.25">
      <c r="B5" s="13" t="s">
        <v>16</v>
      </c>
      <c r="C5" s="13">
        <f>COUNTIFS('Raw Data'!$F$2:$F$185, "Asus", 'Raw Data'!$G$2:$G$185, "Chrome OS")</f>
        <v>0</v>
      </c>
      <c r="D5" s="13">
        <f>COUNTIFS('Raw Data'!$F$2:$F$185, "Asus", 'Raw Data'!$G$2:$G$185, "Linux")</f>
        <v>0</v>
      </c>
      <c r="E5" s="13">
        <f>COUNTIFS('Raw Data'!$F$2:$F$185, "Asus", 'Raw Data'!$G$2:$G$185, "MacOS")</f>
        <v>0</v>
      </c>
      <c r="F5" s="13">
        <f>COUNTIFS('Raw Data'!$F$2:$F$185, "Asus", 'Raw Data'!$G$2:$G$185, "Windows")</f>
        <v>22</v>
      </c>
      <c r="G5" s="13">
        <f>SUM($C$5:$F$5)</f>
        <v>22</v>
      </c>
    </row>
    <row r="6" spans="1:9" x14ac:dyDescent="0.25">
      <c r="B6" s="13" t="s">
        <v>20</v>
      </c>
      <c r="C6" s="13">
        <f>COUNTIFS('Raw Data'!$F$2:$F$185, "Chromebook", 'Raw Data'!$G$2:$G$185, "Chrome OS")</f>
        <v>6</v>
      </c>
      <c r="D6" s="13">
        <f>COUNTIFS('Raw Data'!$F$2:$F$185, "Chromebook", 'Raw Data'!$G$2:$G$185, "Linux")</f>
        <v>0</v>
      </c>
      <c r="E6" s="13">
        <f>COUNTIFS('Raw Data'!$F$2:$F$185, "Chromebook", 'Raw Data'!$G$2:$G$185, "MacOS")</f>
        <v>0</v>
      </c>
      <c r="F6" s="13">
        <f>COUNTIFS('Raw Data'!$F$2:$F$185, "Chromebook", 'Raw Data'!$G$2:$G$185, "Windows")</f>
        <v>0</v>
      </c>
      <c r="G6" s="13">
        <f>SUM($C$6:$F$6)</f>
        <v>6</v>
      </c>
    </row>
    <row r="7" spans="1:9" x14ac:dyDescent="0.25">
      <c r="B7" s="13" t="s">
        <v>19</v>
      </c>
      <c r="C7" s="13">
        <f>COUNTIFS('Raw Data'!$F$2:$F$185, "Dell", 'Raw Data'!$G$2:$G$185, "Chrome OS")</f>
        <v>0</v>
      </c>
      <c r="D7" s="13">
        <f>COUNTIFS('Raw Data'!$F$2:$F$185, "Dell", 'Raw Data'!$G$2:$G$185, "Linux")</f>
        <v>6</v>
      </c>
      <c r="E7" s="13">
        <f>COUNTIFS('Raw Data'!$F$2:$F$185, "Dell", 'Raw Data'!$G$2:$G$185, "MacOS")</f>
        <v>0</v>
      </c>
      <c r="F7" s="13">
        <f>COUNTIFS('Raw Data'!$F$2:$F$185, "Dell", 'Raw Data'!$G$2:$G$185, "Windows")</f>
        <v>16</v>
      </c>
      <c r="G7" s="13">
        <f>SUM($C$7:$F$7)</f>
        <v>22</v>
      </c>
    </row>
    <row r="8" spans="1:9" x14ac:dyDescent="0.25">
      <c r="B8" s="13" t="s">
        <v>11</v>
      </c>
      <c r="C8" s="13">
        <f>COUNTIFS('Raw Data'!$F$2:$F$185, "HP", 'Raw Data'!$G$2:$G$185, "Chrome OS")</f>
        <v>0</v>
      </c>
      <c r="D8" s="13">
        <f>COUNTIFS('Raw Data'!$F$2:$F$185, "HP", 'Raw Data'!$G$2:$G$185, "Linux")</f>
        <v>0</v>
      </c>
      <c r="E8" s="13">
        <f>COUNTIFS('Raw Data'!$F$2:$F$185, "HP", 'Raw Data'!$G$2:$G$185, "MacOS")</f>
        <v>0</v>
      </c>
      <c r="F8" s="13">
        <f>COUNTIFS('Raw Data'!$F$2:$F$185, "HP", 'Raw Data'!$G$2:$G$185, "Windows")</f>
        <v>16</v>
      </c>
      <c r="G8" s="13">
        <f>SUM($C$8:$F$8)</f>
        <v>16</v>
      </c>
    </row>
    <row r="9" spans="1:9" x14ac:dyDescent="0.25">
      <c r="B9" s="13" t="s">
        <v>14</v>
      </c>
      <c r="C9" s="13">
        <f>COUNTIFS('Raw Data'!$F$2:$F$185, "Lenovo", 'Raw Data'!$G$2:$G$185, "Chrome OS")</f>
        <v>0</v>
      </c>
      <c r="D9" s="13">
        <f>COUNTIFS('Raw Data'!$F$2:$F$185, "Lenovo", 'Raw Data'!$G$2:$G$185, "Linux")</f>
        <v>13</v>
      </c>
      <c r="E9" s="13">
        <f>COUNTIFS('Raw Data'!$F$2:$F$185, "Lenovo", 'Raw Data'!$G$2:$G$185, "MacOS")</f>
        <v>0</v>
      </c>
      <c r="F9" s="13">
        <f>COUNTIFS('Raw Data'!$F$2:$F$185, "Lenovo", 'Raw Data'!$G$2:$G$185, "Windows")</f>
        <v>43</v>
      </c>
      <c r="G9" s="13">
        <f>SUM($C$9:$F$9)</f>
        <v>56</v>
      </c>
    </row>
    <row r="10" spans="1:9" x14ac:dyDescent="0.25">
      <c r="B10" s="13" t="s">
        <v>8</v>
      </c>
      <c r="C10" s="13">
        <f>COUNTIFS('Raw Data'!$F$2:$F$185, "MacBook", 'Raw Data'!$G$2:$G$185, "Chrome OS")</f>
        <v>0</v>
      </c>
      <c r="D10" s="13">
        <f>COUNTIFS('Raw Data'!$F$2:$F$185, "MacBook", 'Raw Data'!$G$2:$G$185, "Linux")</f>
        <v>0</v>
      </c>
      <c r="E10" s="13">
        <f>COUNTIFS('Raw Data'!$F$2:$F$185, "MacBook", 'Raw Data'!$G$2:$G$185, "MacOS")</f>
        <v>59</v>
      </c>
      <c r="F10" s="13">
        <f>COUNTIFS('Raw Data'!$F$2:$F$185, "MacBook", 'Raw Data'!$G$2:$G$185, "Windows")</f>
        <v>0</v>
      </c>
      <c r="G10" s="13">
        <f>SUM($C$10:$F$10)</f>
        <v>59</v>
      </c>
    </row>
    <row r="11" spans="1:9" x14ac:dyDescent="0.25">
      <c r="B11" s="13" t="s">
        <v>23</v>
      </c>
      <c r="C11" s="13">
        <f>COUNTIFS('Raw Data'!$F$2:$F$185, "Samsung", 'Raw Data'!$G$2:$G$185, "Chrome OS")</f>
        <v>0</v>
      </c>
      <c r="D11" s="13">
        <f>COUNTIFS('Raw Data'!$F$2:$F$185, "Samsung", 'Raw Data'!$G$2:$G$185, "Linux")</f>
        <v>0</v>
      </c>
      <c r="E11" s="13">
        <f>COUNTIFS('Raw Data'!$F$2:$F$185, "Samsung", 'Raw Data'!$G$2:$G$185, "MacOS")</f>
        <v>0</v>
      </c>
      <c r="F11" s="13">
        <f>COUNTIFS('Raw Data'!$F$2:$F$185, "Samsung", 'Raw Data'!$G$2:$G$185, "Windows")</f>
        <v>1</v>
      </c>
      <c r="G11" s="13">
        <f>SUM($C$11:$F$11)</f>
        <v>1</v>
      </c>
    </row>
    <row r="12" spans="1:9" ht="13" x14ac:dyDescent="0.3">
      <c r="B12" s="17" t="s">
        <v>250</v>
      </c>
      <c r="C12" s="13">
        <f>SUM($C$4:$C$11)</f>
        <v>6</v>
      </c>
      <c r="D12" s="13">
        <f>SUM($D$4:$D$11)</f>
        <v>19</v>
      </c>
      <c r="E12" s="13">
        <f>SUM($E$4:$E$11)</f>
        <v>59</v>
      </c>
      <c r="F12" s="13">
        <f>SUM($F$4:$F$11)</f>
        <v>100</v>
      </c>
      <c r="G12" s="13">
        <f>SUM($G$4:$G$11)</f>
        <v>184</v>
      </c>
    </row>
    <row r="14" spans="1:9" x14ac:dyDescent="0.25">
      <c r="B14" s="14" t="s">
        <v>251</v>
      </c>
      <c r="C14" s="16">
        <f>($E$12/$G$12*100)</f>
        <v>32.065217391304344</v>
      </c>
    </row>
    <row r="15" spans="1:9" x14ac:dyDescent="0.25">
      <c r="B15" s="20" t="s">
        <v>252</v>
      </c>
      <c r="C15" s="16">
        <f>($F$8/$G$12*100)</f>
        <v>8.695652173913043</v>
      </c>
    </row>
    <row r="16" spans="1:9" x14ac:dyDescent="0.25">
      <c r="B16" s="14" t="s">
        <v>253</v>
      </c>
      <c r="C16" s="16">
        <f>($F$9/$G$9*100)</f>
        <v>76.785714285714292</v>
      </c>
    </row>
    <row r="17" spans="2:3" x14ac:dyDescent="0.25">
      <c r="B17" s="14" t="s">
        <v>254</v>
      </c>
      <c r="C17" s="16">
        <f>($D$7/D12*100)</f>
        <v>31.578947368421051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A584-94C1-4D60-A2A1-9AD08CE84E4A}">
  <dimension ref="B4:F26"/>
  <sheetViews>
    <sheetView tabSelected="1" topLeftCell="A7" workbookViewId="0">
      <selection activeCell="B26" sqref="B26:C26"/>
    </sheetView>
  </sheetViews>
  <sheetFormatPr defaultRowHeight="12.5" x14ac:dyDescent="0.25"/>
  <cols>
    <col min="2" max="2" width="34.1796875" customWidth="1"/>
    <col min="3" max="3" width="39.90625" bestFit="1" customWidth="1"/>
    <col min="6" max="6" width="18.36328125" customWidth="1"/>
    <col min="7" max="7" width="15.90625" customWidth="1"/>
  </cols>
  <sheetData>
    <row r="4" spans="2:6" x14ac:dyDescent="0.25">
      <c r="B4" s="13" t="s">
        <v>255</v>
      </c>
      <c r="C4" s="13">
        <f>MIN('Raw Data'!$E$2:E$185)</f>
        <v>20000</v>
      </c>
    </row>
    <row r="5" spans="2:6" x14ac:dyDescent="0.25">
      <c r="B5" s="13" t="s">
        <v>256</v>
      </c>
      <c r="C5" s="13">
        <f>MAX('Raw Data'!$E$2:$E$185)</f>
        <v>99000</v>
      </c>
    </row>
    <row r="7" spans="2:6" x14ac:dyDescent="0.25">
      <c r="B7" s="21" t="s">
        <v>257</v>
      </c>
      <c r="C7" t="s">
        <v>267</v>
      </c>
      <c r="F7" s="12"/>
    </row>
    <row r="8" spans="2:6" x14ac:dyDescent="0.25">
      <c r="B8" s="22" t="s">
        <v>259</v>
      </c>
      <c r="C8">
        <v>59</v>
      </c>
      <c r="F8" s="22"/>
    </row>
    <row r="9" spans="2:6" x14ac:dyDescent="0.25">
      <c r="B9" s="22" t="s">
        <v>260</v>
      </c>
      <c r="C9">
        <v>33</v>
      </c>
      <c r="F9" s="22"/>
    </row>
    <row r="10" spans="2:6" x14ac:dyDescent="0.25">
      <c r="B10" s="22" t="s">
        <v>261</v>
      </c>
      <c r="C10">
        <v>22</v>
      </c>
      <c r="F10" s="22"/>
    </row>
    <row r="11" spans="2:6" x14ac:dyDescent="0.25">
      <c r="B11" s="22" t="s">
        <v>262</v>
      </c>
      <c r="C11">
        <v>10</v>
      </c>
      <c r="F11" s="22"/>
    </row>
    <row r="12" spans="2:6" x14ac:dyDescent="0.25">
      <c r="B12" s="22" t="s">
        <v>263</v>
      </c>
      <c r="C12">
        <v>20</v>
      </c>
      <c r="F12" s="22"/>
    </row>
    <row r="13" spans="2:6" x14ac:dyDescent="0.25">
      <c r="B13" s="22" t="s">
        <v>264</v>
      </c>
      <c r="C13">
        <v>17</v>
      </c>
      <c r="F13" s="22"/>
    </row>
    <row r="14" spans="2:6" x14ac:dyDescent="0.25">
      <c r="B14" s="22" t="s">
        <v>265</v>
      </c>
      <c r="C14">
        <v>12</v>
      </c>
      <c r="F14" s="22"/>
    </row>
    <row r="15" spans="2:6" x14ac:dyDescent="0.25">
      <c r="B15" s="22" t="s">
        <v>266</v>
      </c>
      <c r="C15">
        <v>11</v>
      </c>
      <c r="F15" s="22"/>
    </row>
    <row r="16" spans="2:6" x14ac:dyDescent="0.25">
      <c r="B16" s="22" t="s">
        <v>258</v>
      </c>
      <c r="C16">
        <v>184</v>
      </c>
    </row>
    <row r="26" spans="2:3" ht="256.5" customHeight="1" x14ac:dyDescent="0.25">
      <c r="B26" s="24" t="s">
        <v>300</v>
      </c>
      <c r="C26" s="25" t="s">
        <v>268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36A3-B7A2-42D0-BA4A-08DC6E7FC8B1}">
  <dimension ref="B4:J32"/>
  <sheetViews>
    <sheetView topLeftCell="A23" workbookViewId="0">
      <selection activeCell="D30" sqref="D30"/>
    </sheetView>
  </sheetViews>
  <sheetFormatPr defaultRowHeight="12.5" x14ac:dyDescent="0.25"/>
  <cols>
    <col min="2" max="2" width="37.1796875" customWidth="1"/>
    <col min="3" max="3" width="28.54296875" customWidth="1"/>
    <col min="4" max="4" width="30.81640625" customWidth="1"/>
    <col min="5" max="5" width="14.90625" customWidth="1"/>
    <col min="6" max="6" width="17.90625" customWidth="1"/>
    <col min="7" max="7" width="18.26953125" customWidth="1"/>
    <col min="8" max="8" width="26.36328125" customWidth="1"/>
    <col min="9" max="9" width="29.54296875" customWidth="1"/>
    <col min="10" max="10" width="34.36328125" customWidth="1"/>
  </cols>
  <sheetData>
    <row r="4" spans="2:10" x14ac:dyDescent="0.25">
      <c r="B4" s="13" t="s">
        <v>269</v>
      </c>
      <c r="C4" s="13">
        <f>MAX('Raw Data'!$C$2:$C$185)</f>
        <v>476</v>
      </c>
      <c r="E4" s="19"/>
    </row>
    <row r="5" spans="2:10" x14ac:dyDescent="0.25">
      <c r="B5" s="13" t="s">
        <v>270</v>
      </c>
      <c r="C5" s="13">
        <f>MIN('Raw Data'!$C$2:$C$185)</f>
        <v>1</v>
      </c>
    </row>
    <row r="6" spans="2:10" x14ac:dyDescent="0.25">
      <c r="B6" s="13" t="s">
        <v>271</v>
      </c>
      <c r="C6" s="13">
        <f>($C$4-$C$5)</f>
        <v>475</v>
      </c>
    </row>
    <row r="7" spans="2:10" x14ac:dyDescent="0.25">
      <c r="B7" s="13" t="s">
        <v>272</v>
      </c>
      <c r="C7" s="13">
        <f>$C$6/10</f>
        <v>47.5</v>
      </c>
    </row>
    <row r="8" spans="2:10" x14ac:dyDescent="0.25">
      <c r="B8" s="13" t="s">
        <v>273</v>
      </c>
      <c r="C8" s="13">
        <f>ROUND($C$7, 0)</f>
        <v>48</v>
      </c>
    </row>
    <row r="10" spans="2:10" ht="14.5" x14ac:dyDescent="0.25">
      <c r="B10" s="13" t="s">
        <v>274</v>
      </c>
      <c r="C10" s="13" t="s">
        <v>285</v>
      </c>
      <c r="D10" s="14" t="s">
        <v>286</v>
      </c>
      <c r="E10" s="14" t="s">
        <v>287</v>
      </c>
      <c r="F10" s="14" t="s">
        <v>288</v>
      </c>
      <c r="G10" s="14" t="s">
        <v>289</v>
      </c>
      <c r="H10" s="14" t="s">
        <v>290</v>
      </c>
      <c r="I10" s="14" t="s">
        <v>291</v>
      </c>
      <c r="J10" s="14" t="s">
        <v>292</v>
      </c>
    </row>
    <row r="11" spans="2:10" x14ac:dyDescent="0.25">
      <c r="B11" s="13" t="s">
        <v>275</v>
      </c>
      <c r="C11" s="13">
        <v>24.5</v>
      </c>
      <c r="D11" s="13">
        <f>C11^2</f>
        <v>600.25</v>
      </c>
      <c r="E11" s="13">
        <f>COUNTIFS('Raw Data'!$C$2:$C$185, "&gt;=0", 'Raw Data'!$C$2:$C$185, "&lt;=48")</f>
        <v>102</v>
      </c>
      <c r="F11" s="13">
        <f>SUM($E$11:$E$20)</f>
        <v>184</v>
      </c>
      <c r="G11" s="13">
        <f>C11*E11</f>
        <v>2499</v>
      </c>
      <c r="H11" s="13">
        <f>SUM($G$11:$G$20)</f>
        <v>14972</v>
      </c>
      <c r="I11" s="13">
        <f>D11 * E11</f>
        <v>61225.5</v>
      </c>
      <c r="J11" s="13">
        <f>SUM($I$11:$I$20)</f>
        <v>2724430</v>
      </c>
    </row>
    <row r="12" spans="2:10" x14ac:dyDescent="0.25">
      <c r="B12" s="13" t="s">
        <v>276</v>
      </c>
      <c r="C12" s="13">
        <v>72.5</v>
      </c>
      <c r="D12" s="13">
        <f t="shared" ref="D12:D20" si="0">C12^2</f>
        <v>5256.25</v>
      </c>
      <c r="E12" s="13">
        <f>COUNTIFS('Raw Data'!$C$2:$C$185, "&gt;=49", 'Raw Data'!$C$2:$C$185, "&lt;=96")</f>
        <v>34</v>
      </c>
      <c r="F12" s="13"/>
      <c r="G12" s="13">
        <f t="shared" ref="G12:G20" si="1">C12*E12</f>
        <v>2465</v>
      </c>
      <c r="H12" s="13"/>
      <c r="I12" s="13">
        <f>D12 * E12</f>
        <v>178712.5</v>
      </c>
      <c r="J12" s="13"/>
    </row>
    <row r="13" spans="2:10" x14ac:dyDescent="0.25">
      <c r="B13" s="13" t="s">
        <v>277</v>
      </c>
      <c r="C13" s="13">
        <v>120.5</v>
      </c>
      <c r="D13" s="13">
        <f t="shared" si="0"/>
        <v>14520.25</v>
      </c>
      <c r="E13" s="13">
        <f>COUNTIFS('Raw Data'!$C$2:$C$185, "&gt;=97", 'Raw Data'!$C$2:$C$185, "&lt;=144")</f>
        <v>15</v>
      </c>
      <c r="F13" s="13"/>
      <c r="G13" s="13">
        <f t="shared" si="1"/>
        <v>1807.5</v>
      </c>
      <c r="H13" s="13"/>
      <c r="I13" s="13">
        <f t="shared" ref="I13:I20" si="2">D13 * E13</f>
        <v>217803.75</v>
      </c>
      <c r="J13" s="13"/>
    </row>
    <row r="14" spans="2:10" x14ac:dyDescent="0.25">
      <c r="B14" s="13" t="s">
        <v>278</v>
      </c>
      <c r="C14" s="13">
        <v>168.5</v>
      </c>
      <c r="D14" s="13">
        <f t="shared" si="0"/>
        <v>28392.25</v>
      </c>
      <c r="E14" s="14">
        <f>COUNTIFS('Raw Data'!$C$2:$C$185, "&gt;=145", 'Raw Data'!$C$2:$C$185, "&lt;=192")</f>
        <v>10</v>
      </c>
      <c r="F14" s="13"/>
      <c r="G14" s="13">
        <f t="shared" si="1"/>
        <v>1685</v>
      </c>
      <c r="H14" s="13"/>
      <c r="I14" s="13">
        <f t="shared" si="2"/>
        <v>283922.5</v>
      </c>
      <c r="J14" s="13"/>
    </row>
    <row r="15" spans="2:10" x14ac:dyDescent="0.25">
      <c r="B15" s="13" t="s">
        <v>279</v>
      </c>
      <c r="C15" s="13">
        <v>216.5</v>
      </c>
      <c r="D15" s="13">
        <f t="shared" si="0"/>
        <v>46872.25</v>
      </c>
      <c r="E15" s="13">
        <f>COUNTIFS('Raw Data'!$C$2:$C$185, "&gt;=193", 'Raw Data'!$C$2:$C$185, "&lt;=240")</f>
        <v>10</v>
      </c>
      <c r="F15" s="13"/>
      <c r="G15" s="13">
        <f t="shared" si="1"/>
        <v>2165</v>
      </c>
      <c r="H15" s="13"/>
      <c r="I15" s="13">
        <f t="shared" si="2"/>
        <v>468722.5</v>
      </c>
      <c r="J15" s="13"/>
    </row>
    <row r="16" spans="2:10" x14ac:dyDescent="0.25">
      <c r="B16" s="13" t="s">
        <v>280</v>
      </c>
      <c r="C16" s="13">
        <v>264.5</v>
      </c>
      <c r="D16" s="13">
        <f t="shared" si="0"/>
        <v>69960.25</v>
      </c>
      <c r="E16" s="13">
        <f>COUNTIFS('Raw Data'!$C$2:$C$185, "&gt;=241", 'Raw Data'!$C$2:$C$185, "&lt;=288")</f>
        <v>5</v>
      </c>
      <c r="F16" s="13"/>
      <c r="G16" s="13">
        <f t="shared" si="1"/>
        <v>1322.5</v>
      </c>
      <c r="H16" s="13"/>
      <c r="I16" s="13">
        <f t="shared" si="2"/>
        <v>349801.25</v>
      </c>
      <c r="J16" s="13"/>
    </row>
    <row r="17" spans="2:10" x14ac:dyDescent="0.25">
      <c r="B17" s="13" t="s">
        <v>281</v>
      </c>
      <c r="C17" s="13">
        <v>312.5</v>
      </c>
      <c r="D17" s="13">
        <f t="shared" si="0"/>
        <v>97656.25</v>
      </c>
      <c r="E17" s="13">
        <f>COUNTIFS('Raw Data'!$C$2:$C$185, "&gt;=289", 'Raw Data'!$C$2:$C$185, "&lt;=336")</f>
        <v>2</v>
      </c>
      <c r="F17" s="13"/>
      <c r="G17" s="13">
        <f t="shared" si="1"/>
        <v>625</v>
      </c>
      <c r="H17" s="13"/>
      <c r="I17" s="13">
        <f t="shared" si="2"/>
        <v>195312.5</v>
      </c>
      <c r="J17" s="13"/>
    </row>
    <row r="18" spans="2:10" x14ac:dyDescent="0.25">
      <c r="B18" s="13" t="s">
        <v>282</v>
      </c>
      <c r="C18" s="13">
        <v>360.5</v>
      </c>
      <c r="D18" s="13">
        <f t="shared" si="0"/>
        <v>129960.25</v>
      </c>
      <c r="E18" s="13">
        <f>COUNTIFS('Raw Data'!$C$2:$C$185, "&gt;=337", 'Raw Data'!$C$2:$C$185, "&lt;=384")</f>
        <v>2</v>
      </c>
      <c r="F18" s="13"/>
      <c r="G18" s="13">
        <f t="shared" si="1"/>
        <v>721</v>
      </c>
      <c r="H18" s="13"/>
      <c r="I18" s="13">
        <f t="shared" si="2"/>
        <v>259920.5</v>
      </c>
      <c r="J18" s="13"/>
    </row>
    <row r="19" spans="2:10" x14ac:dyDescent="0.25">
      <c r="B19" s="13" t="s">
        <v>283</v>
      </c>
      <c r="C19" s="13">
        <v>408.5</v>
      </c>
      <c r="D19" s="13">
        <f t="shared" si="0"/>
        <v>166872.25</v>
      </c>
      <c r="E19" s="13">
        <f>COUNTIFS('Raw Data'!$C$2:$C$185, "&gt;=385", 'Raw Data'!$C$2:$C$185, "&lt;=432")</f>
        <v>3</v>
      </c>
      <c r="F19" s="13"/>
      <c r="G19" s="13">
        <f t="shared" si="1"/>
        <v>1225.5</v>
      </c>
      <c r="H19" s="13"/>
      <c r="I19" s="13">
        <f t="shared" si="2"/>
        <v>500616.75</v>
      </c>
      <c r="J19" s="13"/>
    </row>
    <row r="20" spans="2:10" x14ac:dyDescent="0.25">
      <c r="B20" s="13" t="s">
        <v>284</v>
      </c>
      <c r="C20" s="13">
        <v>456.5</v>
      </c>
      <c r="D20" s="13">
        <f t="shared" si="0"/>
        <v>208392.25</v>
      </c>
      <c r="E20" s="13">
        <f>COUNTIFS('Raw Data'!$C$2:$C$185, "&gt;=433", 'Raw Data'!$C$2:$C$185, "&lt;=480")</f>
        <v>1</v>
      </c>
      <c r="F20" s="13"/>
      <c r="G20" s="13">
        <f t="shared" si="1"/>
        <v>456.5</v>
      </c>
      <c r="H20" s="13"/>
      <c r="I20" s="13">
        <f t="shared" si="2"/>
        <v>208392.25</v>
      </c>
      <c r="J20" s="13"/>
    </row>
    <row r="22" spans="2:10" x14ac:dyDescent="0.25">
      <c r="B22" s="14" t="s">
        <v>300</v>
      </c>
      <c r="H22" s="14" t="s">
        <v>293</v>
      </c>
      <c r="I22" s="14" t="s">
        <v>294</v>
      </c>
      <c r="J22" s="14" t="s">
        <v>295</v>
      </c>
    </row>
    <row r="23" spans="2:10" ht="75" x14ac:dyDescent="0.25">
      <c r="B23" s="23" t="s">
        <v>302</v>
      </c>
      <c r="H23" s="16">
        <f>H11/F11</f>
        <v>81.369565217391298</v>
      </c>
      <c r="I23" s="16">
        <f>$J$11/$F$11-$H$23^2</f>
        <v>8185.6786389414001</v>
      </c>
      <c r="J23" s="16">
        <f>SQRT($I$23)</f>
        <v>90.474740336413234</v>
      </c>
    </row>
    <row r="27" spans="2:10" ht="25" x14ac:dyDescent="0.25">
      <c r="B27" s="14" t="s">
        <v>296</v>
      </c>
      <c r="C27" s="23" t="s">
        <v>297</v>
      </c>
      <c r="D27" s="14" t="s">
        <v>300</v>
      </c>
    </row>
    <row r="28" spans="2:10" ht="87.5" x14ac:dyDescent="0.25">
      <c r="B28" s="16">
        <f>AVERAGE('Raw Data'!$C$2:$C$185)</f>
        <v>76.934782608695656</v>
      </c>
      <c r="C28" s="16">
        <f>_xlfn.STDEV.P('Raw Data'!$C$2:$C$185)</f>
        <v>92.617293946628664</v>
      </c>
      <c r="D28" s="23" t="s">
        <v>303</v>
      </c>
    </row>
    <row r="29" spans="2:10" x14ac:dyDescent="0.25">
      <c r="B29" s="13"/>
      <c r="C29" s="13"/>
      <c r="D29" s="13"/>
    </row>
    <row r="30" spans="2:10" x14ac:dyDescent="0.25">
      <c r="B30" s="13"/>
      <c r="C30" s="13"/>
      <c r="D30" s="13"/>
    </row>
    <row r="31" spans="2:10" ht="37.5" x14ac:dyDescent="0.25">
      <c r="B31" s="23" t="s">
        <v>298</v>
      </c>
      <c r="C31" s="23" t="s">
        <v>299</v>
      </c>
      <c r="D31" s="14" t="s">
        <v>300</v>
      </c>
    </row>
    <row r="32" spans="2:10" ht="200" x14ac:dyDescent="0.25">
      <c r="B32" s="16">
        <f>AVERAGE('Primary Research Data'!G5:G45)</f>
        <v>7.4390243902439028</v>
      </c>
      <c r="C32" s="16">
        <f>_xlfn.STDEV.P('Primary Research Data'!G5:G45)</f>
        <v>2.0127493693441716</v>
      </c>
      <c r="D32" s="23"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Primary Research Data</vt:lpstr>
      <vt:lpstr>Task 1</vt:lpstr>
      <vt:lpstr>Task 2</vt:lpstr>
      <vt:lpstr>Task 3</vt:lpstr>
      <vt:lpstr>Task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Oldham</dc:creator>
  <cp:keywords/>
  <dc:description/>
  <cp:lastModifiedBy>Carl Gardiner</cp:lastModifiedBy>
  <cp:revision/>
  <dcterms:created xsi:type="dcterms:W3CDTF">2024-01-04T17:03:29Z</dcterms:created>
  <dcterms:modified xsi:type="dcterms:W3CDTF">2025-04-08T19:45:56Z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de893e-0867-4da1-b808-8ec67389fdff_Enabled">
    <vt:lpwstr>true</vt:lpwstr>
  </property>
  <property fmtid="{D5CDD505-2E9C-101B-9397-08002B2CF9AE}" pid="3" name="MSIP_Label_3cde893e-0867-4da1-b808-8ec67389fdff_SetDate">
    <vt:lpwstr>2025-04-05T10:41:41Z</vt:lpwstr>
  </property>
  <property fmtid="{D5CDD505-2E9C-101B-9397-08002B2CF9AE}" pid="4" name="MSIP_Label_3cde893e-0867-4da1-b808-8ec67389fdff_Method">
    <vt:lpwstr>Privileged</vt:lpwstr>
  </property>
  <property fmtid="{D5CDD505-2E9C-101B-9397-08002B2CF9AE}" pid="5" name="MSIP_Label_3cde893e-0867-4da1-b808-8ec67389fdff_Name">
    <vt:lpwstr>NON-OS</vt:lpwstr>
  </property>
  <property fmtid="{D5CDD505-2E9C-101B-9397-08002B2CF9AE}" pid="6" name="MSIP_Label_3cde893e-0867-4da1-b808-8ec67389fdff_SiteId">
    <vt:lpwstr>7988742d-c543-4b9a-87a9-10a7b354d289</vt:lpwstr>
  </property>
  <property fmtid="{D5CDD505-2E9C-101B-9397-08002B2CF9AE}" pid="7" name="MSIP_Label_3cde893e-0867-4da1-b808-8ec67389fdff_ActionId">
    <vt:lpwstr>a46a8eab-961a-4dcc-aa12-40bd64233c0f</vt:lpwstr>
  </property>
  <property fmtid="{D5CDD505-2E9C-101B-9397-08002B2CF9AE}" pid="8" name="MSIP_Label_3cde893e-0867-4da1-b808-8ec67389fdff_ContentBits">
    <vt:lpwstr>0</vt:lpwstr>
  </property>
  <property fmtid="{D5CDD505-2E9C-101B-9397-08002B2CF9AE}" pid="9" name="MSIP_Label_3cde893e-0867-4da1-b808-8ec67389fdff_Tag">
    <vt:lpwstr>10, 0, 1, 1</vt:lpwstr>
  </property>
</Properties>
</file>