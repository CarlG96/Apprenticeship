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renticeship\Level5\Work_Based_Project_And_Professional_Development\GanttCharts\"/>
    </mc:Choice>
  </mc:AlternateContent>
  <xr:revisionPtr revIDLastSave="0" documentId="13_ncr:1_{38EC3C9C-8FE4-4949-9A0C-24D488157371}" xr6:coauthVersionLast="47" xr6:coauthVersionMax="47" xr10:uidLastSave="{00000000-0000-0000-0000-000000000000}"/>
  <bookViews>
    <workbookView xWindow="28680" yWindow="-120" windowWidth="29040" windowHeight="15720" xr2:uid="{6A1FBF72-1F2E-48E1-AA5D-564FB6208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K21" i="1" a="1"/>
  <c r="K21" i="1" s="1"/>
  <c r="L21" i="1" a="1"/>
  <c r="L21" i="1"/>
  <c r="M21" i="1" a="1"/>
  <c r="M21" i="1"/>
  <c r="N21" i="1" a="1"/>
  <c r="N21" i="1"/>
  <c r="O21" i="1" a="1"/>
  <c r="O21" i="1" s="1"/>
  <c r="P21" i="1" a="1"/>
  <c r="P21" i="1" s="1"/>
  <c r="Q21" i="1" a="1"/>
  <c r="Q21" i="1"/>
  <c r="R21" i="1" a="1"/>
  <c r="R21" i="1"/>
  <c r="S21" i="1" a="1"/>
  <c r="S21" i="1" s="1"/>
  <c r="T21" i="1" a="1"/>
  <c r="T21" i="1" s="1"/>
  <c r="U21" i="1" a="1"/>
  <c r="U21" i="1"/>
  <c r="V21" i="1" a="1"/>
  <c r="V21" i="1"/>
  <c r="W21" i="1" a="1"/>
  <c r="W21" i="1"/>
  <c r="X21" i="1" a="1"/>
  <c r="X21" i="1"/>
  <c r="Y21" i="1" a="1"/>
  <c r="Y21" i="1"/>
  <c r="Z21" i="1" a="1"/>
  <c r="Z21" i="1" s="1"/>
  <c r="F18" i="1"/>
  <c r="K18" i="1" a="1"/>
  <c r="K18" i="1" s="1"/>
  <c r="L18" i="1" a="1"/>
  <c r="L18" i="1"/>
  <c r="M18" i="1" a="1"/>
  <c r="M18" i="1"/>
  <c r="N18" i="1" a="1"/>
  <c r="N18" i="1"/>
  <c r="O18" i="1" a="1"/>
  <c r="O18" i="1" s="1"/>
  <c r="P18" i="1" a="1"/>
  <c r="P18" i="1"/>
  <c r="Q18" i="1" a="1"/>
  <c r="Q18" i="1"/>
  <c r="R18" i="1" a="1"/>
  <c r="R18" i="1"/>
  <c r="S18" i="1" a="1"/>
  <c r="S18" i="1"/>
  <c r="T18" i="1" a="1"/>
  <c r="T18" i="1" s="1"/>
  <c r="U18" i="1" a="1"/>
  <c r="U18" i="1" s="1"/>
  <c r="V18" i="1" a="1"/>
  <c r="V18" i="1" s="1"/>
  <c r="W18" i="1" a="1"/>
  <c r="W18" i="1"/>
  <c r="X18" i="1" a="1"/>
  <c r="X18" i="1"/>
  <c r="Y18" i="1" a="1"/>
  <c r="Y18" i="1"/>
  <c r="Z18" i="1" a="1"/>
  <c r="Z18" i="1"/>
  <c r="F16" i="1"/>
  <c r="K16" i="1" a="1"/>
  <c r="K16" i="1" s="1"/>
  <c r="L16" i="1" a="1"/>
  <c r="L16" i="1"/>
  <c r="M16" i="1" a="1"/>
  <c r="M16" i="1" s="1"/>
  <c r="N16" i="1" a="1"/>
  <c r="N16" i="1" s="1"/>
  <c r="O16" i="1" a="1"/>
  <c r="O16" i="1" s="1"/>
  <c r="P16" i="1" a="1"/>
  <c r="P16" i="1"/>
  <c r="Q16" i="1" a="1"/>
  <c r="Q16" i="1" s="1"/>
  <c r="R16" i="1" a="1"/>
  <c r="R16" i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/>
  <c r="Z16" i="1" a="1"/>
  <c r="Z16" i="1"/>
  <c r="K5" i="1" a="1"/>
  <c r="K5" i="1" s="1"/>
  <c r="M6" i="1" a="1"/>
  <c r="M6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/>
  <c r="Z15" i="1" a="1"/>
  <c r="Z15" i="1"/>
  <c r="Z17" i="1" a="1"/>
  <c r="Z17" i="1" s="1"/>
  <c r="Z19" i="1" a="1"/>
  <c r="Z19" i="1" s="1"/>
  <c r="Z20" i="1" a="1"/>
  <c r="Z20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/>
  <c r="Z28" i="1" a="1"/>
  <c r="Z28" i="1" s="1"/>
  <c r="Y6" i="1" a="1"/>
  <c r="Y6" i="1" s="1"/>
  <c r="Y7" i="1" a="1"/>
  <c r="Y7" i="1" s="1"/>
  <c r="Y8" i="1" a="1"/>
  <c r="Y8" i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7" i="1" a="1"/>
  <c r="Y17" i="1" s="1"/>
  <c r="Y19" i="1" a="1"/>
  <c r="Y19" i="1" s="1"/>
  <c r="Y20" i="1" a="1"/>
  <c r="Y20" i="1" s="1"/>
  <c r="Y22" i="1" a="1"/>
  <c r="Y22" i="1" s="1"/>
  <c r="Y23" i="1" a="1"/>
  <c r="Y23" i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X6" i="1" a="1"/>
  <c r="X6" i="1" s="1"/>
  <c r="X7" i="1" a="1"/>
  <c r="X7" i="1" s="1"/>
  <c r="X8" i="1" a="1"/>
  <c r="X8" i="1"/>
  <c r="X9" i="1" a="1"/>
  <c r="X9" i="1" s="1"/>
  <c r="X10" i="1" a="1"/>
  <c r="X10" i="1" s="1"/>
  <c r="X11" i="1" a="1"/>
  <c r="X11" i="1"/>
  <c r="X12" i="1" a="1"/>
  <c r="X12" i="1" s="1"/>
  <c r="X13" i="1" a="1"/>
  <c r="X13" i="1" s="1"/>
  <c r="X14" i="1" a="1"/>
  <c r="X14" i="1" s="1"/>
  <c r="X15" i="1" a="1"/>
  <c r="X15" i="1" s="1"/>
  <c r="X17" i="1" a="1"/>
  <c r="X17" i="1" s="1"/>
  <c r="X19" i="1" a="1"/>
  <c r="X19" i="1" s="1"/>
  <c r="X20" i="1" a="1"/>
  <c r="X20" i="1"/>
  <c r="X22" i="1" a="1"/>
  <c r="X22" i="1" s="1"/>
  <c r="X23" i="1" a="1"/>
  <c r="X23" i="1" s="1"/>
  <c r="X24" i="1" a="1"/>
  <c r="X24" i="1"/>
  <c r="X25" i="1" a="1"/>
  <c r="X25" i="1" s="1"/>
  <c r="X26" i="1" a="1"/>
  <c r="X26" i="1" s="1"/>
  <c r="X27" i="1" a="1"/>
  <c r="X27" i="1" s="1"/>
  <c r="X28" i="1" a="1"/>
  <c r="X28" i="1" s="1"/>
  <c r="W6" i="1" a="1"/>
  <c r="W6" i="1" s="1"/>
  <c r="W7" i="1" a="1"/>
  <c r="W7" i="1" s="1"/>
  <c r="W8" i="1" a="1"/>
  <c r="W8" i="1" s="1"/>
  <c r="W9" i="1" a="1"/>
  <c r="W9" i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7" i="1" a="1"/>
  <c r="W17" i="1"/>
  <c r="W19" i="1" a="1"/>
  <c r="W19" i="1" s="1"/>
  <c r="W20" i="1" a="1"/>
  <c r="W20" i="1" s="1"/>
  <c r="W22" i="1" a="1"/>
  <c r="W22" i="1" s="1"/>
  <c r="W23" i="1" a="1"/>
  <c r="W23" i="1" s="1"/>
  <c r="W24" i="1" a="1"/>
  <c r="W24" i="1" s="1"/>
  <c r="W25" i="1" a="1"/>
  <c r="W25" i="1"/>
  <c r="W26" i="1" a="1"/>
  <c r="W26" i="1" s="1"/>
  <c r="W27" i="1" a="1"/>
  <c r="W27" i="1" s="1"/>
  <c r="W28" i="1" a="1"/>
  <c r="W28" i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/>
  <c r="V12" i="1" a="1"/>
  <c r="V12" i="1" s="1"/>
  <c r="V13" i="1" a="1"/>
  <c r="V13" i="1" s="1"/>
  <c r="V14" i="1" a="1"/>
  <c r="V14" i="1" s="1"/>
  <c r="V15" i="1" a="1"/>
  <c r="V15" i="1" s="1"/>
  <c r="V17" i="1" a="1"/>
  <c r="V17" i="1" s="1"/>
  <c r="V19" i="1" a="1"/>
  <c r="V19" i="1" s="1"/>
  <c r="V20" i="1" a="1"/>
  <c r="V20" i="1" s="1"/>
  <c r="V22" i="1" a="1"/>
  <c r="V22" i="1" s="1"/>
  <c r="V23" i="1" a="1"/>
  <c r="V23" i="1" s="1"/>
  <c r="V24" i="1" a="1"/>
  <c r="V24" i="1"/>
  <c r="V25" i="1" a="1"/>
  <c r="V25" i="1"/>
  <c r="V26" i="1" a="1"/>
  <c r="V26" i="1" s="1"/>
  <c r="V27" i="1" a="1"/>
  <c r="V27" i="1" s="1"/>
  <c r="V28" i="1" a="1"/>
  <c r="V28" i="1" s="1"/>
  <c r="U6" i="1" a="1"/>
  <c r="U6" i="1" s="1"/>
  <c r="U7" i="1" a="1"/>
  <c r="U7" i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/>
  <c r="U14" i="1" a="1"/>
  <c r="U14" i="1" s="1"/>
  <c r="U15" i="1" a="1"/>
  <c r="U15" i="1"/>
  <c r="U17" i="1" a="1"/>
  <c r="U17" i="1" s="1"/>
  <c r="U19" i="1" a="1"/>
  <c r="U19" i="1" s="1"/>
  <c r="U20" i="1" a="1"/>
  <c r="U20" i="1" s="1"/>
  <c r="U22" i="1" a="1"/>
  <c r="U22" i="1" s="1"/>
  <c r="U23" i="1" a="1"/>
  <c r="U23" i="1" s="1"/>
  <c r="U24" i="1" a="1"/>
  <c r="U24" i="1"/>
  <c r="U25" i="1" a="1"/>
  <c r="U25" i="1" s="1"/>
  <c r="U26" i="1" a="1"/>
  <c r="U26" i="1"/>
  <c r="U27" i="1" a="1"/>
  <c r="U27" i="1"/>
  <c r="U28" i="1" a="1"/>
  <c r="U28" i="1" s="1"/>
  <c r="T6" i="1" a="1"/>
  <c r="T6" i="1" s="1"/>
  <c r="T7" i="1" a="1"/>
  <c r="T7" i="1" s="1"/>
  <c r="T8" i="1" a="1"/>
  <c r="T8" i="1"/>
  <c r="T9" i="1" a="1"/>
  <c r="T9" i="1" s="1"/>
  <c r="T10" i="1" a="1"/>
  <c r="T10" i="1" s="1"/>
  <c r="T11" i="1" a="1"/>
  <c r="T11" i="1" s="1"/>
  <c r="T12" i="1" a="1"/>
  <c r="T12" i="1"/>
  <c r="T13" i="1" a="1"/>
  <c r="T13" i="1" s="1"/>
  <c r="T14" i="1" a="1"/>
  <c r="T14" i="1" s="1"/>
  <c r="T15" i="1" a="1"/>
  <c r="T15" i="1" s="1"/>
  <c r="T17" i="1" a="1"/>
  <c r="T17" i="1" s="1"/>
  <c r="T19" i="1" a="1"/>
  <c r="T19" i="1"/>
  <c r="T20" i="1" a="1"/>
  <c r="T20" i="1" s="1"/>
  <c r="T22" i="1" a="1"/>
  <c r="T22" i="1" s="1"/>
  <c r="T23" i="1" a="1"/>
  <c r="T23" i="1" s="1"/>
  <c r="T24" i="1" a="1"/>
  <c r="T24" i="1" s="1"/>
  <c r="T25" i="1" a="1"/>
  <c r="T25" i="1" s="1"/>
  <c r="T26" i="1" a="1"/>
  <c r="T26" i="1"/>
  <c r="T27" i="1" a="1"/>
  <c r="T27" i="1" s="1"/>
  <c r="T28" i="1" a="1"/>
  <c r="T28" i="1" s="1"/>
  <c r="S6" i="1" a="1"/>
  <c r="S6" i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 s="1"/>
  <c r="S17" i="1" a="1"/>
  <c r="S17" i="1"/>
  <c r="S19" i="1" a="1"/>
  <c r="S19" i="1" s="1"/>
  <c r="S20" i="1" a="1"/>
  <c r="S20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R6" i="1" a="1"/>
  <c r="R6" i="1" s="1"/>
  <c r="R7" i="1" a="1"/>
  <c r="R7" i="1"/>
  <c r="R8" i="1" a="1"/>
  <c r="R8" i="1" s="1"/>
  <c r="R9" i="1" a="1"/>
  <c r="R9" i="1"/>
  <c r="R10" i="1" a="1"/>
  <c r="R10" i="1" s="1"/>
  <c r="R11" i="1" a="1"/>
  <c r="R11" i="1" s="1"/>
  <c r="R12" i="1" a="1"/>
  <c r="R12" i="1"/>
  <c r="R13" i="1" a="1"/>
  <c r="R13" i="1" s="1"/>
  <c r="R14" i="1" a="1"/>
  <c r="R14" i="1"/>
  <c r="R15" i="1" a="1"/>
  <c r="R15" i="1"/>
  <c r="R17" i="1" a="1"/>
  <c r="R17" i="1" s="1"/>
  <c r="R19" i="1" a="1"/>
  <c r="R19" i="1" s="1"/>
  <c r="R20" i="1" a="1"/>
  <c r="R20" i="1" s="1"/>
  <c r="R22" i="1" a="1"/>
  <c r="R22" i="1" s="1"/>
  <c r="R23" i="1" a="1"/>
  <c r="R23" i="1" s="1"/>
  <c r="R24" i="1" a="1"/>
  <c r="R24" i="1"/>
  <c r="R25" i="1" a="1"/>
  <c r="R25" i="1" s="1"/>
  <c r="R26" i="1" a="1"/>
  <c r="R26" i="1" s="1"/>
  <c r="R27" i="1" a="1"/>
  <c r="R27" i="1" s="1"/>
  <c r="R28" i="1" a="1"/>
  <c r="R28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/>
  <c r="Q13" i="1" a="1"/>
  <c r="Q13" i="1" s="1"/>
  <c r="Q14" i="1" a="1"/>
  <c r="Q14" i="1" s="1"/>
  <c r="Q15" i="1" a="1"/>
  <c r="Q15" i="1" s="1"/>
  <c r="Q17" i="1" a="1"/>
  <c r="Q17" i="1" s="1"/>
  <c r="Q19" i="1" a="1"/>
  <c r="Q19" i="1"/>
  <c r="Q20" i="1" a="1"/>
  <c r="Q20" i="1" s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 s="1"/>
  <c r="Q28" i="1" a="1"/>
  <c r="Q28" i="1" s="1"/>
  <c r="P6" i="1" a="1"/>
  <c r="P6" i="1" s="1"/>
  <c r="P7" i="1" a="1"/>
  <c r="P7" i="1" s="1"/>
  <c r="P8" i="1" a="1"/>
  <c r="P8" i="1"/>
  <c r="P9" i="1" a="1"/>
  <c r="P9" i="1" s="1"/>
  <c r="P10" i="1" a="1"/>
  <c r="P10" i="1" s="1"/>
  <c r="P11" i="1" a="1"/>
  <c r="P11" i="1"/>
  <c r="P12" i="1" a="1"/>
  <c r="P12" i="1" s="1"/>
  <c r="P13" i="1" a="1"/>
  <c r="P13" i="1" s="1"/>
  <c r="P14" i="1" a="1"/>
  <c r="P14" i="1" s="1"/>
  <c r="P15" i="1" a="1"/>
  <c r="P15" i="1" s="1"/>
  <c r="P17" i="1" a="1"/>
  <c r="P17" i="1" s="1"/>
  <c r="P19" i="1" a="1"/>
  <c r="P19" i="1" s="1"/>
  <c r="P20" i="1" a="1"/>
  <c r="P20" i="1" s="1"/>
  <c r="P22" i="1" a="1"/>
  <c r="P22" i="1"/>
  <c r="P23" i="1" a="1"/>
  <c r="P23" i="1" s="1"/>
  <c r="P24" i="1" a="1"/>
  <c r="P24" i="1"/>
  <c r="P25" i="1" a="1"/>
  <c r="P25" i="1" s="1"/>
  <c r="P26" i="1" a="1"/>
  <c r="P26" i="1"/>
  <c r="P27" i="1" a="1"/>
  <c r="P27" i="1" s="1"/>
  <c r="P28" i="1" a="1"/>
  <c r="P28" i="1" s="1"/>
  <c r="O6" i="1" a="1"/>
  <c r="O6" i="1"/>
  <c r="O7" i="1" a="1"/>
  <c r="O7" i="1" s="1"/>
  <c r="O8" i="1" a="1"/>
  <c r="O8" i="1" s="1"/>
  <c r="O9" i="1" a="1"/>
  <c r="O9" i="1"/>
  <c r="O10" i="1" a="1"/>
  <c r="O10" i="1" s="1"/>
  <c r="O11" i="1" a="1"/>
  <c r="O11" i="1" s="1"/>
  <c r="O12" i="1" a="1"/>
  <c r="O12" i="1"/>
  <c r="O13" i="1" a="1"/>
  <c r="O13" i="1" s="1"/>
  <c r="O14" i="1" a="1"/>
  <c r="O14" i="1" s="1"/>
  <c r="O15" i="1" a="1"/>
  <c r="O15" i="1"/>
  <c r="O17" i="1" a="1"/>
  <c r="O17" i="1" s="1"/>
  <c r="O19" i="1" a="1"/>
  <c r="O19" i="1" s="1"/>
  <c r="O20" i="1" a="1"/>
  <c r="O20" i="1" s="1"/>
  <c r="O22" i="1" a="1"/>
  <c r="O22" i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7" i="1" a="1"/>
  <c r="N17" i="1" s="1"/>
  <c r="N19" i="1" a="1"/>
  <c r="N19" i="1" s="1"/>
  <c r="N20" i="1" a="1"/>
  <c r="N20" i="1" s="1"/>
  <c r="N22" i="1" a="1"/>
  <c r="N22" i="1" s="1"/>
  <c r="N23" i="1" a="1"/>
  <c r="N23" i="1"/>
  <c r="N24" i="1" a="1"/>
  <c r="N24" i="1"/>
  <c r="N25" i="1" a="1"/>
  <c r="N25" i="1" s="1"/>
  <c r="N26" i="1" a="1"/>
  <c r="N26" i="1" s="1"/>
  <c r="N27" i="1" a="1"/>
  <c r="N27" i="1" s="1"/>
  <c r="N28" i="1" a="1"/>
  <c r="N28" i="1"/>
  <c r="M7" i="1" a="1"/>
  <c r="M7" i="1" s="1"/>
  <c r="M8" i="1" a="1"/>
  <c r="M8" i="1" s="1"/>
  <c r="M9" i="1" a="1"/>
  <c r="M9" i="1" s="1"/>
  <c r="M10" i="1" a="1"/>
  <c r="M10" i="1"/>
  <c r="M11" i="1" a="1"/>
  <c r="M11" i="1" s="1"/>
  <c r="M12" i="1" a="1"/>
  <c r="M12" i="1"/>
  <c r="M13" i="1" a="1"/>
  <c r="M13" i="1"/>
  <c r="M14" i="1" a="1"/>
  <c r="M14" i="1" s="1"/>
  <c r="M15" i="1" a="1"/>
  <c r="M15" i="1"/>
  <c r="M17" i="1" a="1"/>
  <c r="M17" i="1" s="1"/>
  <c r="M19" i="1" a="1"/>
  <c r="M19" i="1"/>
  <c r="M20" i="1" a="1"/>
  <c r="M20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L6" i="1" a="1"/>
  <c r="L6" i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/>
  <c r="L15" i="1" a="1"/>
  <c r="L15" i="1" s="1"/>
  <c r="L17" i="1" a="1"/>
  <c r="L17" i="1" s="1"/>
  <c r="L19" i="1" a="1"/>
  <c r="L19" i="1" s="1"/>
  <c r="L20" i="1" a="1"/>
  <c r="L20" i="1" s="1"/>
  <c r="L22" i="1" a="1"/>
  <c r="L22" i="1" s="1"/>
  <c r="L23" i="1" a="1"/>
  <c r="L23" i="1"/>
  <c r="L24" i="1" a="1"/>
  <c r="L24" i="1" s="1"/>
  <c r="L25" i="1" a="1"/>
  <c r="L25" i="1" s="1"/>
  <c r="L26" i="1" a="1"/>
  <c r="L26" i="1" s="1"/>
  <c r="L27" i="1" a="1"/>
  <c r="L27" i="1" s="1"/>
  <c r="L28" i="1" a="1"/>
  <c r="L28" i="1"/>
  <c r="L5" i="1" a="1"/>
  <c r="L5" i="1" s="1"/>
  <c r="M5" i="1" a="1"/>
  <c r="M5" i="1" s="1"/>
  <c r="N5" i="1" a="1"/>
  <c r="N5" i="1"/>
  <c r="O5" i="1" a="1"/>
  <c r="O5" i="1" s="1"/>
  <c r="P5" i="1" a="1"/>
  <c r="P5" i="1"/>
  <c r="Q5" i="1" a="1"/>
  <c r="Q5" i="1"/>
  <c r="R5" i="1" a="1"/>
  <c r="R5" i="1" s="1"/>
  <c r="S5" i="1" a="1"/>
  <c r="S5" i="1" s="1"/>
  <c r="T5" i="1" a="1"/>
  <c r="T5" i="1" s="1"/>
  <c r="U5" i="1" a="1"/>
  <c r="U5" i="1"/>
  <c r="V5" i="1" a="1"/>
  <c r="V5" i="1" s="1"/>
  <c r="W5" i="1" a="1"/>
  <c r="W5" i="1" s="1"/>
  <c r="X5" i="1" a="1"/>
  <c r="X5" i="1" s="1"/>
  <c r="Y5" i="1" a="1"/>
  <c r="Y5" i="1"/>
  <c r="Z5" i="1" a="1"/>
  <c r="Z5" i="1" s="1"/>
  <c r="K6" i="1" a="1"/>
  <c r="K6" i="1" s="1"/>
  <c r="K7" i="1" a="1"/>
  <c r="K7" i="1"/>
  <c r="K8" i="1" a="1"/>
  <c r="K8" i="1" s="1"/>
  <c r="K9" i="1" a="1"/>
  <c r="K9" i="1"/>
  <c r="K10" i="1" a="1"/>
  <c r="K10" i="1" s="1"/>
  <c r="K11" i="1" a="1"/>
  <c r="K11" i="1" s="1"/>
  <c r="K12" i="1" a="1"/>
  <c r="K12" i="1" s="1"/>
  <c r="K13" i="1" a="1"/>
  <c r="K13" i="1" s="1"/>
  <c r="K14" i="1" a="1"/>
  <c r="K14" i="1"/>
  <c r="K15" i="1" a="1"/>
  <c r="K15" i="1" s="1"/>
  <c r="K17" i="1" a="1"/>
  <c r="K17" i="1" s="1"/>
  <c r="K19" i="1" a="1"/>
  <c r="K19" i="1" s="1"/>
  <c r="K20" i="1" a="1"/>
  <c r="K20" i="1" s="1"/>
  <c r="K22" i="1" a="1"/>
  <c r="K22" i="1" s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/>
  <c r="Z29" i="1"/>
  <c r="Y29" i="1"/>
  <c r="F8" i="1"/>
  <c r="F6" i="1"/>
  <c r="F7" i="1"/>
  <c r="F9" i="1"/>
  <c r="F10" i="1"/>
  <c r="F11" i="1"/>
  <c r="F12" i="1"/>
  <c r="F13" i="1"/>
  <c r="F14" i="1"/>
  <c r="F15" i="1"/>
  <c r="F17" i="1"/>
  <c r="F19" i="1"/>
  <c r="F20" i="1"/>
  <c r="F22" i="1"/>
  <c r="F23" i="1"/>
  <c r="F24" i="1"/>
  <c r="F25" i="1"/>
  <c r="F26" i="1"/>
  <c r="F27" i="1"/>
  <c r="F28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<sst xmlns="http://schemas.openxmlformats.org/spreadsheetml/2006/main" count="98" uniqueCount="67">
  <si>
    <t>Research and Analysis</t>
  </si>
  <si>
    <t>Investigate Current Pipeline Implementation</t>
  </si>
  <si>
    <t>Design</t>
  </si>
  <si>
    <t>Investigate Ways to Interact with Database in PowerShell</t>
  </si>
  <si>
    <t>Investigate Ways to Ensure Security</t>
  </si>
  <si>
    <t>Create Skeleton of Data Seeding Stage</t>
  </si>
  <si>
    <t>Create Skeleton of PowerShell Script</t>
  </si>
  <si>
    <t>Include Parameters for Activation of Data Seeding Stage</t>
  </si>
  <si>
    <t>Implementation</t>
  </si>
  <si>
    <t>Add Attachment Image to Repository</t>
  </si>
  <si>
    <t>Testing</t>
  </si>
  <si>
    <t>Add Teardown Capability to Pipelines</t>
  </si>
  <si>
    <t>Documentation</t>
  </si>
  <si>
    <t>Project Start Date:</t>
  </si>
  <si>
    <t>Project Name:</t>
  </si>
  <si>
    <t>Data Seeding Script for Development Environment Deployments</t>
  </si>
  <si>
    <t>Start</t>
  </si>
  <si>
    <t>End</t>
  </si>
  <si>
    <t>Days</t>
  </si>
  <si>
    <t>Status</t>
  </si>
  <si>
    <t>% Done</t>
  </si>
  <si>
    <t>Week 1</t>
  </si>
  <si>
    <t>Week 2</t>
  </si>
  <si>
    <t>Week 3</t>
  </si>
  <si>
    <t>Week 4</t>
  </si>
  <si>
    <t>Task ID</t>
  </si>
  <si>
    <t>Time Justification</t>
  </si>
  <si>
    <t>Task Name</t>
  </si>
  <si>
    <t>Add Single Record to Database Through 
PowerShell Script</t>
  </si>
  <si>
    <t>Add Multiple Non-Attachment Records to 
Database Through PowerShell Script</t>
  </si>
  <si>
    <t>Add Record With Attachment to Database 
and Azure Blob Storage through PowerShell 
Script</t>
  </si>
  <si>
    <t>Ensure Single Record Can be Displayed on
 Front End</t>
  </si>
  <si>
    <t>Ensure Multiple Records Can Be Displayed 
on Front End</t>
  </si>
  <si>
    <t>Ensure Record with Attachment Can Be 
Displayed on Front End</t>
  </si>
  <si>
    <t>None</t>
  </si>
  <si>
    <t>Depends On</t>
  </si>
  <si>
    <t>2, 4.2</t>
  </si>
  <si>
    <t>Requires only viewing current code</t>
  </si>
  <si>
    <t>Requires looking up documentation for 
PowerShell libraries</t>
  </si>
  <si>
    <t>Requires reviewing identities used in pipeline</t>
  </si>
  <si>
    <t>Overarching task</t>
  </si>
  <si>
    <t>Basic code stage skeleton</t>
  </si>
  <si>
    <t>Basic "Hello World!" PowerShell script</t>
  </si>
  <si>
    <t>Requires gatekeeping the ability to run the 
to protect production environments</t>
  </si>
  <si>
    <t>Requires reversing steps taken before</t>
  </si>
  <si>
    <t>Requires implementing research from Task 1.2 and implementing according to schema</t>
  </si>
  <si>
    <t>Requires looping extension of Task 3.1</t>
  </si>
  <si>
    <t>Requires adding image file, trivial</t>
  </si>
  <si>
    <t>Requires adding file to blob storage and 
ensuring the steps are in the right order, 
potentially new security risks</t>
  </si>
  <si>
    <t>Requires locally testing Task 3.2
implementation</t>
  </si>
  <si>
    <t>Requires locally testing Task 3.4
implementation</t>
  </si>
  <si>
    <t>Requires thorough explanation in wiki and
review by someone not working on this</t>
  </si>
  <si>
    <t>Create Documentation Explaining How to 
Test the Data Seeding Script</t>
  </si>
  <si>
    <t>Requires step-by-step tutorial and review</t>
  </si>
  <si>
    <t>Statuses</t>
  </si>
  <si>
    <t>Not Started</t>
  </si>
  <si>
    <t>In Progress</t>
  </si>
  <si>
    <t>Blocked</t>
  </si>
  <si>
    <t>Complete</t>
  </si>
  <si>
    <t>Add Condition to Single Record Script to Make it Idempotent</t>
  </si>
  <si>
    <t>Add Condition to Multiple Records Script to Make it Idempotent</t>
  </si>
  <si>
    <t>Add Condition to Make Record With Attachment Script Idempotent</t>
  </si>
  <si>
    <t>Requires locally testing Task 3.7
implementation</t>
  </si>
  <si>
    <t>Requires the implementation of Task 3.1</t>
  </si>
  <si>
    <t>Requires the implementation of Task 3.3</t>
  </si>
  <si>
    <t>Requires the implementation of Task 3.6</t>
  </si>
  <si>
    <t>Create Documentation Explaining How the
 Data Seeding Script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</si>
</sst>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164" fontId="0" fillId="0" borderId="1" xfId="0" applyNumberFormat="1" applyBorder="1" applyAlignment="1">
      <alignment textRotation="90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0F61-45DD-4BCC-AD21-52965239F211}">
  <dimension ref="B2:Z35"/>
  <sheetViews>
    <sheetView tabSelected="1" topLeftCell="A5" workbookViewId="0">
      <selection activeCell="C27" sqref="C27"/>
    </sheetView>
  </sheetViews>
  <sheetFormatPr defaultRowHeight="14.4" x14ac:dyDescent="0.3"/>
  <cols>
    <col min="3" max="3" width="37.77734375" customWidth="1"/>
    <col min="4" max="4" width="15.77734375" customWidth="1"/>
    <col min="5" max="5" width="11.5546875" customWidth="1"/>
    <col min="6" max="6" width="12" customWidth="1"/>
    <col min="7" max="7" width="13.77734375" customWidth="1"/>
    <col min="8" max="8" width="38.44140625" customWidth="1"/>
    <col min="9" max="9" width="11.6640625" customWidth="1"/>
    <col min="10" max="10" width="16.77734375" customWidth="1"/>
    <col min="11" max="26" width="5" customWidth="1"/>
    <col min="27" max="27" width="5.77734375" customWidth="1"/>
  </cols>
  <sheetData>
    <row r="2" spans="2:26" x14ac:dyDescent="0.3">
      <c r="C2" s="1" t="s">
        <v>13</v>
      </c>
      <c r="D2" s="2">
        <v>46085</v>
      </c>
      <c r="K2" s="17" t="s">
        <v>21</v>
      </c>
      <c r="L2" s="18"/>
      <c r="M2" s="18"/>
      <c r="N2" s="19" t="s">
        <v>22</v>
      </c>
      <c r="O2" s="20"/>
      <c r="P2" s="20"/>
      <c r="Q2" s="20"/>
      <c r="R2" s="20"/>
      <c r="S2" s="17" t="s">
        <v>23</v>
      </c>
      <c r="T2" s="18"/>
      <c r="U2" s="18"/>
      <c r="V2" s="18"/>
      <c r="W2" s="18"/>
      <c r="X2" s="21" t="s">
        <v>24</v>
      </c>
      <c r="Y2" s="22"/>
      <c r="Z2" s="23"/>
    </row>
    <row r="3" spans="2:26" ht="36.6" x14ac:dyDescent="0.3">
      <c r="C3" s="1" t="s">
        <v>14</v>
      </c>
      <c r="D3" s="5" t="s">
        <v>15</v>
      </c>
      <c r="E3" s="4"/>
      <c r="F3" s="4"/>
      <c r="G3" s="4"/>
      <c r="H3" s="4"/>
      <c r="I3" s="4"/>
      <c r="K3" s="6">
        <v>46085</v>
      </c>
      <c r="L3" s="6">
        <v>46086</v>
      </c>
      <c r="M3" s="6">
        <v>46087</v>
      </c>
      <c r="N3" s="6">
        <v>46090</v>
      </c>
      <c r="O3" s="6">
        <v>46091</v>
      </c>
      <c r="P3" s="6">
        <v>46092</v>
      </c>
      <c r="Q3" s="6">
        <v>46093</v>
      </c>
      <c r="R3" s="6">
        <v>46094</v>
      </c>
      <c r="S3" s="6">
        <v>46097</v>
      </c>
      <c r="T3" s="6">
        <v>46098</v>
      </c>
      <c r="U3" s="6">
        <v>46099</v>
      </c>
      <c r="V3" s="6">
        <v>46100</v>
      </c>
      <c r="W3" s="6">
        <v>46101</v>
      </c>
      <c r="X3" s="6">
        <v>46104</v>
      </c>
      <c r="Y3" s="6">
        <v>46105</v>
      </c>
      <c r="Z3" s="6">
        <v>46106</v>
      </c>
    </row>
    <row r="4" spans="2:26" x14ac:dyDescent="0.3">
      <c r="B4" s="9" t="s">
        <v>25</v>
      </c>
      <c r="C4" s="9" t="s">
        <v>27</v>
      </c>
      <c r="D4" s="9" t="s">
        <v>16</v>
      </c>
      <c r="E4" s="9" t="s">
        <v>17</v>
      </c>
      <c r="F4" s="9" t="s">
        <v>18</v>
      </c>
      <c r="G4" s="9" t="s">
        <v>35</v>
      </c>
      <c r="H4" s="9" t="s">
        <v>26</v>
      </c>
      <c r="I4" s="9" t="s">
        <v>19</v>
      </c>
      <c r="J4" s="9" t="s">
        <v>20</v>
      </c>
    </row>
    <row r="5" spans="2:26" x14ac:dyDescent="0.3">
      <c r="B5" s="10">
        <v>1</v>
      </c>
      <c r="C5" s="11" t="s">
        <v>0</v>
      </c>
      <c r="D5" s="12">
        <v>46085</v>
      </c>
      <c r="E5" s="12">
        <v>46085</v>
      </c>
      <c r="F5" s="13">
        <f>(NETWORKDAYS(D5,E5))</f>
        <v>1</v>
      </c>
      <c r="G5" s="10" t="s">
        <v>34</v>
      </c>
      <c r="H5" s="13" t="s">
        <v>40</v>
      </c>
      <c r="I5" s="13" t="s">
        <v>58</v>
      </c>
      <c r="J5" s="14">
        <v>1</v>
      </c>
      <c r="K5" s="7" t="str" cm="1">
        <f t="array" ref="K5">_xlfn.IFS(AND(K$3=$E5, K$3=$D5),"ou",K$3=$E5,"u",K$3=$D5,"o",TRUE,"")</f>
        <v>ou</v>
      </c>
      <c r="L5" s="7" t="str" cm="1">
        <f t="array" ref="L5">_xlfn.IFS(AND(L$3=$E5, L$3=$D5),"ou",L$3=$E5,"u",L$3=$D5,"o",TRUE,"")</f>
        <v/>
      </c>
      <c r="M5" s="7" t="str" cm="1">
        <f t="array" ref="M5">_xlfn.IFS(AND(M$3=$E5, M$3=$D5),"ou",M$3=$E5,"u",M$3=$D5,"o",TRUE,"")</f>
        <v/>
      </c>
      <c r="N5" s="7" t="str" cm="1">
        <f t="array" ref="N5">_xlfn.IFS(AND(N$3=$E5, N$3=$D5),"ou",N$3=$E5,"u",N$3=$D5,"o",TRUE,"")</f>
        <v/>
      </c>
      <c r="O5" s="7" t="str" cm="1">
        <f t="array" ref="O5">_xlfn.IFS(AND(O$3=$E5, O$3=$D5),"ou",O$3=$E5,"u",O$3=$D5,"o",TRUE,"")</f>
        <v/>
      </c>
      <c r="P5" s="7" t="str" cm="1">
        <f t="array" ref="P5">_xlfn.IFS(AND(P$3=$E5, P$3=$D5),"ou",P$3=$E5,"u",P$3=$D5,"o",TRUE,"")</f>
        <v/>
      </c>
      <c r="Q5" s="7" t="str" cm="1">
        <f t="array" ref="Q5">_xlfn.IFS(AND(Q$3=$E5, Q$3=$D5),"ou",Q$3=$E5,"u",Q$3=$D5,"o",TRUE,"")</f>
        <v/>
      </c>
      <c r="R5" s="7" t="str" cm="1">
        <f t="array" ref="R5">_xlfn.IFS(AND(R$3=$E5, R$3=$D5),"ou",R$3=$E5,"u",R$3=$D5,"o",TRUE,"")</f>
        <v/>
      </c>
      <c r="S5" s="7" t="str" cm="1">
        <f t="array" ref="S5">_xlfn.IFS(AND(S$3=$E5, S$3=$D5),"ou",S$3=$E5,"u",S$3=$D5,"o",TRUE,"")</f>
        <v/>
      </c>
      <c r="T5" s="7" t="str" cm="1">
        <f t="array" ref="T5">_xlfn.IFS(AND(T$3=$E5, T$3=$D5),"ou",T$3=$E5,"u",T$3=$D5,"o",TRUE,"")</f>
        <v/>
      </c>
      <c r="U5" s="7" t="str" cm="1">
        <f t="array" ref="U5">_xlfn.IFS(AND(U$3=$E5, U$3=$D5),"ou",U$3=$E5,"u",U$3=$D5,"o",TRUE,"")</f>
        <v/>
      </c>
      <c r="V5" s="7" t="str" cm="1">
        <f t="array" ref="V5">_xlfn.IFS(AND(V$3=$E5, V$3=$D5),"ou",V$3=$E5,"u",V$3=$D5,"o",TRUE,"")</f>
        <v/>
      </c>
      <c r="W5" s="7" t="str" cm="1">
        <f t="array" ref="W5">_xlfn.IFS(AND(W$3=$E5, W$3=$D5),"ou",W$3=$E5,"u",W$3=$D5,"o",TRUE,"")</f>
        <v/>
      </c>
      <c r="X5" s="7" t="str" cm="1">
        <f t="array" ref="X5">_xlfn.IFS(AND(X$3=$E5, X$3=$D5),"ou",X$3=$E5,"u",X$3=$D5,"o",TRUE,"")</f>
        <v/>
      </c>
      <c r="Y5" s="7" t="str" cm="1">
        <f t="array" ref="Y5">_xlfn.IFS(AND(Y$3=$E5, Y$3=$D5),"ou",Y$3=$E5,"u",Y$3=$D5,"o",TRUE,"")</f>
        <v/>
      </c>
      <c r="Z5" s="7" t="str" cm="1">
        <f t="array" ref="Z5">_xlfn.IFS(AND(Z$3=$E5, Z$3=$D5),"ou",Z$3=$E5,"u",Z$3=$D5,"o",TRUE,"")</f>
        <v/>
      </c>
    </row>
    <row r="6" spans="2:26" x14ac:dyDescent="0.3">
      <c r="B6" s="10">
        <v>1.1000000000000001</v>
      </c>
      <c r="C6" s="11" t="s">
        <v>1</v>
      </c>
      <c r="D6" s="12">
        <v>46085</v>
      </c>
      <c r="E6" s="12">
        <v>46085</v>
      </c>
      <c r="F6" s="13">
        <f t="shared" ref="F6:F28" si="0">(NETWORKDAYS(D6,E6))</f>
        <v>1</v>
      </c>
      <c r="G6" s="10" t="s">
        <v>34</v>
      </c>
      <c r="H6" s="13" t="s">
        <v>37</v>
      </c>
      <c r="I6" s="13" t="s">
        <v>58</v>
      </c>
      <c r="J6" s="14">
        <v>1</v>
      </c>
      <c r="K6" s="7" t="str" cm="1">
        <f t="array" ref="K6">_xlfn.IFS(AND(K$3=$E6, K$3=$D6),"ou",K$3=$E6,"u",K$3=$D6,"o",TRUE,"")</f>
        <v>ou</v>
      </c>
      <c r="L6" s="7" t="str" cm="1">
        <f t="array" ref="L6">_xlfn.IFS(AND(L$3=$E6, L$3=$D6),"ou",L$3=$E6,"u",L$3=$D6,"o",TRUE,"")</f>
        <v/>
      </c>
      <c r="M6" s="7" t="str" cm="1">
        <f t="array" ref="M6">_xlfn.IFS(AND(M$3=$E6, M$3=$D6),"ou",M$3=$E6,"u",M$3=$D6,"o",TRUE,"")</f>
        <v/>
      </c>
      <c r="N6" s="7" t="str" cm="1">
        <f t="array" ref="N6">_xlfn.IFS(AND(N$3=$E6, N$3=$D6),"ou",N$3=$E6,"u",N$3=$D6,"o",TRUE,"")</f>
        <v/>
      </c>
      <c r="O6" s="7" t="str" cm="1">
        <f t="array" ref="O6">_xlfn.IFS(AND(O$3=$E6, O$3=$D6),"ou",O$3=$E6,"u",O$3=$D6,"o",TRUE,"")</f>
        <v/>
      </c>
      <c r="P6" s="7" t="str" cm="1">
        <f t="array" ref="P6">_xlfn.IFS(AND(P$3=$E6, P$3=$D6),"ou",P$3=$E6,"u",P$3=$D6,"o",TRUE,"")</f>
        <v/>
      </c>
      <c r="Q6" s="7" t="str" cm="1">
        <f t="array" ref="Q6">_xlfn.IFS(AND(Q$3=$E6, Q$3=$D6),"ou",Q$3=$E6,"u",Q$3=$D6,"o",TRUE,"")</f>
        <v/>
      </c>
      <c r="R6" s="7" t="str" cm="1">
        <f t="array" ref="R6">_xlfn.IFS(AND(R$3=$E6, R$3=$D6),"ou",R$3=$E6,"u",R$3=$D6,"o",TRUE,"")</f>
        <v/>
      </c>
      <c r="S6" s="7" t="str" cm="1">
        <f t="array" ref="S6">_xlfn.IFS(AND(S$3=$E6, S$3=$D6),"ou",S$3=$E6,"u",S$3=$D6,"o",TRUE,"")</f>
        <v/>
      </c>
      <c r="T6" s="7" t="str" cm="1">
        <f t="array" ref="T6">_xlfn.IFS(AND(T$3=$E6, T$3=$D6),"ou",T$3=$E6,"u",T$3=$D6,"o",TRUE,"")</f>
        <v/>
      </c>
      <c r="U6" s="7" t="str" cm="1">
        <f t="array" ref="U6">_xlfn.IFS(AND(U$3=$E6, U$3=$D6),"ou",U$3=$E6,"u",U$3=$D6,"o",TRUE,"")</f>
        <v/>
      </c>
      <c r="V6" s="7" t="str" cm="1">
        <f t="array" ref="V6">_xlfn.IFS(AND(V$3=$E6, V$3=$D6),"ou",V$3=$E6,"u",V$3=$D6,"o",TRUE,"")</f>
        <v/>
      </c>
      <c r="W6" s="7" t="str" cm="1">
        <f t="array" ref="W6">_xlfn.IFS(AND(W$3=$E6, W$3=$D6),"ou",W$3=$E6,"u",W$3=$D6,"o",TRUE,"")</f>
        <v/>
      </c>
      <c r="X6" s="7" t="str" cm="1">
        <f t="array" ref="X6">_xlfn.IFS(AND(X$3=$E6, X$3=$D6),"ou",X$3=$E6,"u",X$3=$D6,"o",TRUE,"")</f>
        <v/>
      </c>
      <c r="Y6" s="7" t="str" cm="1">
        <f t="array" ref="Y6">_xlfn.IFS(AND(Y$3=$E6, Y$3=$D6),"ou",Y$3=$E6,"u",Y$3=$D6,"o",TRUE,"")</f>
        <v/>
      </c>
      <c r="Z6" s="7" t="str" cm="1">
        <f t="array" ref="Z6">_xlfn.IFS(AND(Z$3=$E6, Z$3=$D6),"ou",Z$3=$E6,"u",Z$3=$D6,"o",TRUE,"")</f>
        <v/>
      </c>
    </row>
    <row r="7" spans="2:26" ht="28.8" x14ac:dyDescent="0.3">
      <c r="B7" s="10">
        <v>1.2</v>
      </c>
      <c r="C7" s="15" t="s">
        <v>3</v>
      </c>
      <c r="D7" s="12">
        <v>46085</v>
      </c>
      <c r="E7" s="12">
        <v>46085</v>
      </c>
      <c r="F7" s="13">
        <f t="shared" si="0"/>
        <v>1</v>
      </c>
      <c r="G7" s="10" t="s">
        <v>34</v>
      </c>
      <c r="H7" s="16" t="s">
        <v>38</v>
      </c>
      <c r="I7" s="13" t="s">
        <v>58</v>
      </c>
      <c r="J7" s="14">
        <v>1</v>
      </c>
      <c r="K7" s="7" t="str" cm="1">
        <f t="array" ref="K7">_xlfn.IFS(AND(K$3=$E7, K$3=$D7),"ou",K$3=$E7,"u",K$3=$D7,"o",TRUE,"")</f>
        <v>ou</v>
      </c>
      <c r="L7" s="7" t="str" cm="1">
        <f t="array" ref="L7">_xlfn.IFS(AND(L$3=$E7, L$3=$D7),"ou",L$3=$E7,"u",L$3=$D7,"o",TRUE,"")</f>
        <v/>
      </c>
      <c r="M7" s="7" t="str" cm="1">
        <f t="array" ref="M7">_xlfn.IFS(AND(M$3=$E7, M$3=$D7),"ou",M$3=$E7,"u",M$3=$D7,"o",TRUE,"")</f>
        <v/>
      </c>
      <c r="N7" s="7" t="str" cm="1">
        <f t="array" ref="N7">_xlfn.IFS(AND(N$3=$E7, N$3=$D7),"ou",N$3=$E7,"u",N$3=$D7,"o",TRUE,"")</f>
        <v/>
      </c>
      <c r="O7" s="7" t="str" cm="1">
        <f t="array" ref="O7">_xlfn.IFS(AND(O$3=$E7, O$3=$D7),"ou",O$3=$E7,"u",O$3=$D7,"o",TRUE,"")</f>
        <v/>
      </c>
      <c r="P7" s="7" t="str" cm="1">
        <f t="array" ref="P7">_xlfn.IFS(AND(P$3=$E7, P$3=$D7),"ou",P$3=$E7,"u",P$3=$D7,"o",TRUE,"")</f>
        <v/>
      </c>
      <c r="Q7" s="7" t="str" cm="1">
        <f t="array" ref="Q7">_xlfn.IFS(AND(Q$3=$E7, Q$3=$D7),"ou",Q$3=$E7,"u",Q$3=$D7,"o",TRUE,"")</f>
        <v/>
      </c>
      <c r="R7" s="7" t="str" cm="1">
        <f t="array" ref="R7">_xlfn.IFS(AND(R$3=$E7, R$3=$D7),"ou",R$3=$E7,"u",R$3=$D7,"o",TRUE,"")</f>
        <v/>
      </c>
      <c r="S7" s="7" t="str" cm="1">
        <f t="array" ref="S7">_xlfn.IFS(AND(S$3=$E7, S$3=$D7),"ou",S$3=$E7,"u",S$3=$D7,"o",TRUE,"")</f>
        <v/>
      </c>
      <c r="T7" s="7" t="str" cm="1">
        <f t="array" ref="T7">_xlfn.IFS(AND(T$3=$E7, T$3=$D7),"ou",T$3=$E7,"u",T$3=$D7,"o",TRUE,"")</f>
        <v/>
      </c>
      <c r="U7" s="7" t="str" cm="1">
        <f t="array" ref="U7">_xlfn.IFS(AND(U$3=$E7, U$3=$D7),"ou",U$3=$E7,"u",U$3=$D7,"o",TRUE,"")</f>
        <v/>
      </c>
      <c r="V7" s="7" t="str" cm="1">
        <f t="array" ref="V7">_xlfn.IFS(AND(V$3=$E7, V$3=$D7),"ou",V$3=$E7,"u",V$3=$D7,"o",TRUE,"")</f>
        <v/>
      </c>
      <c r="W7" s="7" t="str" cm="1">
        <f t="array" ref="W7">_xlfn.IFS(AND(W$3=$E7, W$3=$D7),"ou",W$3=$E7,"u",W$3=$D7,"o",TRUE,"")</f>
        <v/>
      </c>
      <c r="X7" s="7" t="str" cm="1">
        <f t="array" ref="X7">_xlfn.IFS(AND(X$3=$E7, X$3=$D7),"ou",X$3=$E7,"u",X$3=$D7,"o",TRUE,"")</f>
        <v/>
      </c>
      <c r="Y7" s="7" t="str" cm="1">
        <f t="array" ref="Y7">_xlfn.IFS(AND(Y$3=$E7, Y$3=$D7),"ou",Y$3=$E7,"u",Y$3=$D7,"o",TRUE,"")</f>
        <v/>
      </c>
      <c r="Z7" s="7" t="str" cm="1">
        <f t="array" ref="Z7">_xlfn.IFS(AND(Z$3=$E7, Z$3=$D7),"ou",Z$3=$E7,"u",Z$3=$D7,"o",TRUE,"")</f>
        <v/>
      </c>
    </row>
    <row r="8" spans="2:26" x14ac:dyDescent="0.3">
      <c r="B8" s="10">
        <v>1.3</v>
      </c>
      <c r="C8" s="15" t="s">
        <v>4</v>
      </c>
      <c r="D8" s="12">
        <v>46085</v>
      </c>
      <c r="E8" s="12">
        <v>46085</v>
      </c>
      <c r="F8" s="13">
        <f>(NETWORKDAYS(D8,E8))</f>
        <v>1</v>
      </c>
      <c r="G8" s="10" t="s">
        <v>34</v>
      </c>
      <c r="H8" s="13" t="s">
        <v>39</v>
      </c>
      <c r="I8" s="13" t="s">
        <v>58</v>
      </c>
      <c r="J8" s="14">
        <v>1</v>
      </c>
      <c r="K8" s="7" t="str" cm="1">
        <f t="array" ref="K8">_xlfn.IFS(AND(K$3=$E8, K$3=$D8),"ou",K$3=$E8,"u",K$3=$D8,"o",TRUE,"")</f>
        <v>ou</v>
      </c>
      <c r="L8" s="7" t="str" cm="1">
        <f t="array" ref="L8">_xlfn.IFS(AND(L$3=$E8, L$3=$D8),"ou",L$3=$E8,"u",L$3=$D8,"o",TRUE,"")</f>
        <v/>
      </c>
      <c r="M8" s="7" t="str" cm="1">
        <f t="array" ref="M8">_xlfn.IFS(AND(M$3=$E8, M$3=$D8),"ou",M$3=$E8,"u",M$3=$D8,"o",TRUE,"")</f>
        <v/>
      </c>
      <c r="N8" s="7" t="str" cm="1">
        <f t="array" ref="N8">_xlfn.IFS(AND(N$3=$E8, N$3=$D8),"ou",N$3=$E8,"u",N$3=$D8,"o",TRUE,"")</f>
        <v/>
      </c>
      <c r="O8" s="7" t="str" cm="1">
        <f t="array" ref="O8">_xlfn.IFS(AND(O$3=$E8, O$3=$D8),"ou",O$3=$E8,"u",O$3=$D8,"o",TRUE,"")</f>
        <v/>
      </c>
      <c r="P8" s="7" t="str" cm="1">
        <f t="array" ref="P8">_xlfn.IFS(AND(P$3=$E8, P$3=$D8),"ou",P$3=$E8,"u",P$3=$D8,"o",TRUE,"")</f>
        <v/>
      </c>
      <c r="Q8" s="7" t="str" cm="1">
        <f t="array" ref="Q8">_xlfn.IFS(AND(Q$3=$E8, Q$3=$D8),"ou",Q$3=$E8,"u",Q$3=$D8,"o",TRUE,"")</f>
        <v/>
      </c>
      <c r="R8" s="7" t="str" cm="1">
        <f t="array" ref="R8">_xlfn.IFS(AND(R$3=$E8, R$3=$D8),"ou",R$3=$E8,"u",R$3=$D8,"o",TRUE,"")</f>
        <v/>
      </c>
      <c r="S8" s="7" t="str" cm="1">
        <f t="array" ref="S8">_xlfn.IFS(AND(S$3=$E8, S$3=$D8),"ou",S$3=$E8,"u",S$3=$D8,"o",TRUE,"")</f>
        <v/>
      </c>
      <c r="T8" s="7" t="str" cm="1">
        <f t="array" ref="T8">_xlfn.IFS(AND(T$3=$E8, T$3=$D8),"ou",T$3=$E8,"u",T$3=$D8,"o",TRUE,"")</f>
        <v/>
      </c>
      <c r="U8" s="7" t="str" cm="1">
        <f t="array" ref="U8">_xlfn.IFS(AND(U$3=$E8, U$3=$D8),"ou",U$3=$E8,"u",U$3=$D8,"o",TRUE,"")</f>
        <v/>
      </c>
      <c r="V8" s="7" t="str" cm="1">
        <f t="array" ref="V8">_xlfn.IFS(AND(V$3=$E8, V$3=$D8),"ou",V$3=$E8,"u",V$3=$D8,"o",TRUE,"")</f>
        <v/>
      </c>
      <c r="W8" s="7" t="str" cm="1">
        <f t="array" ref="W8">_xlfn.IFS(AND(W$3=$E8, W$3=$D8),"ou",W$3=$E8,"u",W$3=$D8,"o",TRUE,"")</f>
        <v/>
      </c>
      <c r="X8" s="7" t="str" cm="1">
        <f t="array" ref="X8">_xlfn.IFS(AND(X$3=$E8, X$3=$D8),"ou",X$3=$E8,"u",X$3=$D8,"o",TRUE,"")</f>
        <v/>
      </c>
      <c r="Y8" s="7" t="str" cm="1">
        <f t="array" ref="Y8">_xlfn.IFS(AND(Y$3=$E8, Y$3=$D8),"ou",Y$3=$E8,"u",Y$3=$D8,"o",TRUE,"")</f>
        <v/>
      </c>
      <c r="Z8" s="7" t="str" cm="1">
        <f t="array" ref="Z8">_xlfn.IFS(AND(Z$3=$E8, Z$3=$D8),"ou",Z$3=$E8,"u",Z$3=$D8,"o",TRUE,"")</f>
        <v/>
      </c>
    </row>
    <row r="9" spans="2:26" x14ac:dyDescent="0.3">
      <c r="B9" s="10">
        <v>2</v>
      </c>
      <c r="C9" s="15" t="s">
        <v>2</v>
      </c>
      <c r="D9" s="12">
        <v>46086</v>
      </c>
      <c r="E9" s="12">
        <v>46090</v>
      </c>
      <c r="F9" s="13">
        <f t="shared" si="0"/>
        <v>3</v>
      </c>
      <c r="G9" s="10">
        <v>1</v>
      </c>
      <c r="H9" s="13" t="s">
        <v>40</v>
      </c>
      <c r="I9" s="13" t="s">
        <v>58</v>
      </c>
      <c r="J9" s="14">
        <v>1</v>
      </c>
      <c r="K9" s="7" t="str" cm="1">
        <f t="array" ref="K9">_xlfn.IFS(AND(K$3=$E9, K$3=$D9),"ou",K$3=$E9,"u",K$3=$D9,"o",TRUE,"")</f>
        <v/>
      </c>
      <c r="L9" s="7" t="str" cm="1">
        <f t="array" ref="L9">_xlfn.IFS(AND(L$3=$E9, L$3=$D9),"ou",L$3=$E9,"u",L$3=$D9,"o",TRUE,"")</f>
        <v>o</v>
      </c>
      <c r="M9" s="7" t="str" cm="1">
        <f t="array" ref="M9">_xlfn.IFS(AND(M$3=$E9, M$3=$D9),"ou",M$3=$E9,"u",M$3=$D9,"o",TRUE,"")</f>
        <v/>
      </c>
      <c r="N9" s="7" t="str" cm="1">
        <f t="array" ref="N9">_xlfn.IFS(AND(N$3=$E9, N$3=$D9),"ou",N$3=$E9,"u",N$3=$D9,"o",TRUE,"")</f>
        <v>u</v>
      </c>
      <c r="O9" s="7" t="str" cm="1">
        <f t="array" ref="O9">_xlfn.IFS(AND(O$3=$E9, O$3=$D9),"ou",O$3=$E9,"u",O$3=$D9,"o",TRUE,"")</f>
        <v/>
      </c>
      <c r="P9" s="7" t="str" cm="1">
        <f t="array" ref="P9">_xlfn.IFS(AND(P$3=$E9, P$3=$D9),"ou",P$3=$E9,"u",P$3=$D9,"o",TRUE,"")</f>
        <v/>
      </c>
      <c r="Q9" s="7" t="str" cm="1">
        <f t="array" ref="Q9">_xlfn.IFS(AND(Q$3=$E9, Q$3=$D9),"ou",Q$3=$E9,"u",Q$3=$D9,"o",TRUE,"")</f>
        <v/>
      </c>
      <c r="R9" s="7" t="str" cm="1">
        <f t="array" ref="R9">_xlfn.IFS(AND(R$3=$E9, R$3=$D9),"ou",R$3=$E9,"u",R$3=$D9,"o",TRUE,"")</f>
        <v/>
      </c>
      <c r="S9" s="7" t="str" cm="1">
        <f t="array" ref="S9">_xlfn.IFS(AND(S$3=$E9, S$3=$D9),"ou",S$3=$E9,"u",S$3=$D9,"o",TRUE,"")</f>
        <v/>
      </c>
      <c r="T9" s="7" t="str" cm="1">
        <f t="array" ref="T9">_xlfn.IFS(AND(T$3=$E9, T$3=$D9),"ou",T$3=$E9,"u",T$3=$D9,"o",TRUE,"")</f>
        <v/>
      </c>
      <c r="U9" s="7" t="str" cm="1">
        <f t="array" ref="U9">_xlfn.IFS(AND(U$3=$E9, U$3=$D9),"ou",U$3=$E9,"u",U$3=$D9,"o",TRUE,"")</f>
        <v/>
      </c>
      <c r="V9" s="7" t="str" cm="1">
        <f t="array" ref="V9">_xlfn.IFS(AND(V$3=$E9, V$3=$D9),"ou",V$3=$E9,"u",V$3=$D9,"o",TRUE,"")</f>
        <v/>
      </c>
      <c r="W9" s="7" t="str" cm="1">
        <f t="array" ref="W9">_xlfn.IFS(AND(W$3=$E9, W$3=$D9),"ou",W$3=$E9,"u",W$3=$D9,"o",TRUE,"")</f>
        <v/>
      </c>
      <c r="X9" s="7" t="str" cm="1">
        <f t="array" ref="X9">_xlfn.IFS(AND(X$3=$E9, X$3=$D9),"ou",X$3=$E9,"u",X$3=$D9,"o",TRUE,"")</f>
        <v/>
      </c>
      <c r="Y9" s="7" t="str" cm="1">
        <f t="array" ref="Y9">_xlfn.IFS(AND(Y$3=$E9, Y$3=$D9),"ou",Y$3=$E9,"u",Y$3=$D9,"o",TRUE,"")</f>
        <v/>
      </c>
      <c r="Z9" s="7" t="str" cm="1">
        <f t="array" ref="Z9">_xlfn.IFS(AND(Z$3=$E9, Z$3=$D9),"ou",Z$3=$E9,"u",Z$3=$D9,"o",TRUE,"")</f>
        <v/>
      </c>
    </row>
    <row r="10" spans="2:26" x14ac:dyDescent="0.3">
      <c r="B10" s="10">
        <v>2.1</v>
      </c>
      <c r="C10" s="15" t="s">
        <v>5</v>
      </c>
      <c r="D10" s="12">
        <v>46086</v>
      </c>
      <c r="E10" s="12">
        <v>46086</v>
      </c>
      <c r="F10" s="13">
        <f t="shared" si="0"/>
        <v>1</v>
      </c>
      <c r="G10" s="10">
        <v>1</v>
      </c>
      <c r="H10" s="13" t="s">
        <v>41</v>
      </c>
      <c r="I10" s="13" t="s">
        <v>58</v>
      </c>
      <c r="J10" s="14">
        <v>1</v>
      </c>
      <c r="K10" s="7" t="str" cm="1">
        <f t="array" ref="K10">_xlfn.IFS(AND(K$3=$E10, K$3=$D10),"ou",K$3=$E10,"u",K$3=$D10,"o",TRUE,"")</f>
        <v/>
      </c>
      <c r="L10" s="7" t="str" cm="1">
        <f t="array" ref="L10">_xlfn.IFS(AND(L$3=$E10, L$3=$D10),"ou",L$3=$E10,"u",L$3=$D10,"o",TRUE,"")</f>
        <v>ou</v>
      </c>
      <c r="M10" s="7" t="str" cm="1">
        <f t="array" ref="M10">_xlfn.IFS(AND(M$3=$E10, M$3=$D10),"ou",M$3=$E10,"u",M$3=$D10,"o",TRUE,"")</f>
        <v/>
      </c>
      <c r="N10" s="7" t="str" cm="1">
        <f t="array" ref="N10">_xlfn.IFS(AND(N$3=$E10, N$3=$D10),"ou",N$3=$E10,"u",N$3=$D10,"o",TRUE,"")</f>
        <v/>
      </c>
      <c r="O10" s="7" t="str" cm="1">
        <f t="array" ref="O10">_xlfn.IFS(AND(O$3=$E10, O$3=$D10),"ou",O$3=$E10,"u",O$3=$D10,"o",TRUE,"")</f>
        <v/>
      </c>
      <c r="P10" s="7" t="str" cm="1">
        <f t="array" ref="P10">_xlfn.IFS(AND(P$3=$E10, P$3=$D10),"ou",P$3=$E10,"u",P$3=$D10,"o",TRUE,"")</f>
        <v/>
      </c>
      <c r="Q10" s="7" t="str" cm="1">
        <f t="array" ref="Q10">_xlfn.IFS(AND(Q$3=$E10, Q$3=$D10),"ou",Q$3=$E10,"u",Q$3=$D10,"o",TRUE,"")</f>
        <v/>
      </c>
      <c r="R10" s="7" t="str" cm="1">
        <f t="array" ref="R10">_xlfn.IFS(AND(R$3=$E10, R$3=$D10),"ou",R$3=$E10,"u",R$3=$D10,"o",TRUE,"")</f>
        <v/>
      </c>
      <c r="S10" s="7" t="str" cm="1">
        <f t="array" ref="S10">_xlfn.IFS(AND(S$3=$E10, S$3=$D10),"ou",S$3=$E10,"u",S$3=$D10,"o",TRUE,"")</f>
        <v/>
      </c>
      <c r="T10" s="7" t="str" cm="1">
        <f t="array" ref="T10">_xlfn.IFS(AND(T$3=$E10, T$3=$D10),"ou",T$3=$E10,"u",T$3=$D10,"o",TRUE,"")</f>
        <v/>
      </c>
      <c r="U10" s="7" t="str" cm="1">
        <f t="array" ref="U10">_xlfn.IFS(AND(U$3=$E10, U$3=$D10),"ou",U$3=$E10,"u",U$3=$D10,"o",TRUE,"")</f>
        <v/>
      </c>
      <c r="V10" s="7" t="str" cm="1">
        <f t="array" ref="V10">_xlfn.IFS(AND(V$3=$E10, V$3=$D10),"ou",V$3=$E10,"u",V$3=$D10,"o",TRUE,"")</f>
        <v/>
      </c>
      <c r="W10" s="7" t="str" cm="1">
        <f t="array" ref="W10">_xlfn.IFS(AND(W$3=$E10, W$3=$D10),"ou",W$3=$E10,"u",W$3=$D10,"o",TRUE,"")</f>
        <v/>
      </c>
      <c r="X10" s="7" t="str" cm="1">
        <f t="array" ref="X10">_xlfn.IFS(AND(X$3=$E10, X$3=$D10),"ou",X$3=$E10,"u",X$3=$D10,"o",TRUE,"")</f>
        <v/>
      </c>
      <c r="Y10" s="7" t="str" cm="1">
        <f t="array" ref="Y10">_xlfn.IFS(AND(Y$3=$E10, Y$3=$D10),"ou",Y$3=$E10,"u",Y$3=$D10,"o",TRUE,"")</f>
        <v/>
      </c>
      <c r="Z10" s="7" t="str" cm="1">
        <f t="array" ref="Z10">_xlfn.IFS(AND(Z$3=$E10, Z$3=$D10),"ou",Z$3=$E10,"u",Z$3=$D10,"o",TRUE,"")</f>
        <v/>
      </c>
    </row>
    <row r="11" spans="2:26" x14ac:dyDescent="0.3">
      <c r="B11" s="10">
        <v>2.2000000000000002</v>
      </c>
      <c r="C11" s="15" t="s">
        <v>6</v>
      </c>
      <c r="D11" s="12">
        <v>46086</v>
      </c>
      <c r="E11" s="12">
        <v>46086</v>
      </c>
      <c r="F11" s="13">
        <f t="shared" si="0"/>
        <v>1</v>
      </c>
      <c r="G11" s="10">
        <v>2.1</v>
      </c>
      <c r="H11" s="13" t="s">
        <v>42</v>
      </c>
      <c r="I11" s="13" t="s">
        <v>58</v>
      </c>
      <c r="J11" s="14">
        <v>1</v>
      </c>
      <c r="K11" s="7" t="str" cm="1">
        <f t="array" ref="K11">_xlfn.IFS(AND(K$3=$E11, K$3=$D11),"ou",K$3=$E11,"u",K$3=$D11,"o",TRUE,"")</f>
        <v/>
      </c>
      <c r="L11" s="7" t="str" cm="1">
        <f t="array" ref="L11">_xlfn.IFS(AND(L$3=$E11, L$3=$D11),"ou",L$3=$E11,"u",L$3=$D11,"o",TRUE,"")</f>
        <v>ou</v>
      </c>
      <c r="M11" s="7" t="str" cm="1">
        <f t="array" ref="M11">_xlfn.IFS(AND(M$3=$E11, M$3=$D11),"ou",M$3=$E11,"u",M$3=$D11,"o",TRUE,"")</f>
        <v/>
      </c>
      <c r="N11" s="7" t="str" cm="1">
        <f t="array" ref="N11">_xlfn.IFS(AND(N$3=$E11, N$3=$D11),"ou",N$3=$E11,"u",N$3=$D11,"o",TRUE,"")</f>
        <v/>
      </c>
      <c r="O11" s="7" t="str" cm="1">
        <f t="array" ref="O11">_xlfn.IFS(AND(O$3=$E11, O$3=$D11),"ou",O$3=$E11,"u",O$3=$D11,"o",TRUE,"")</f>
        <v/>
      </c>
      <c r="P11" s="7" t="str" cm="1">
        <f t="array" ref="P11">_xlfn.IFS(AND(P$3=$E11, P$3=$D11),"ou",P$3=$E11,"u",P$3=$D11,"o",TRUE,"")</f>
        <v/>
      </c>
      <c r="Q11" s="7" t="str" cm="1">
        <f t="array" ref="Q11">_xlfn.IFS(AND(Q$3=$E11, Q$3=$D11),"ou",Q$3=$E11,"u",Q$3=$D11,"o",TRUE,"")</f>
        <v/>
      </c>
      <c r="R11" s="7" t="str" cm="1">
        <f t="array" ref="R11">_xlfn.IFS(AND(R$3=$E11, R$3=$D11),"ou",R$3=$E11,"u",R$3=$D11,"o",TRUE,"")</f>
        <v/>
      </c>
      <c r="S11" s="7" t="str" cm="1">
        <f t="array" ref="S11">_xlfn.IFS(AND(S$3=$E11, S$3=$D11),"ou",S$3=$E11,"u",S$3=$D11,"o",TRUE,"")</f>
        <v/>
      </c>
      <c r="T11" s="7" t="str" cm="1">
        <f t="array" ref="T11">_xlfn.IFS(AND(T$3=$E11, T$3=$D11),"ou",T$3=$E11,"u",T$3=$D11,"o",TRUE,"")</f>
        <v/>
      </c>
      <c r="U11" s="7" t="str" cm="1">
        <f t="array" ref="U11">_xlfn.IFS(AND(U$3=$E11, U$3=$D11),"ou",U$3=$E11,"u",U$3=$D11,"o",TRUE,"")</f>
        <v/>
      </c>
      <c r="V11" s="7" t="str" cm="1">
        <f t="array" ref="V11">_xlfn.IFS(AND(V$3=$E11, V$3=$D11),"ou",V$3=$E11,"u",V$3=$D11,"o",TRUE,"")</f>
        <v/>
      </c>
      <c r="W11" s="7" t="str" cm="1">
        <f t="array" ref="W11">_xlfn.IFS(AND(W$3=$E11, W$3=$D11),"ou",W$3=$E11,"u",W$3=$D11,"o",TRUE,"")</f>
        <v/>
      </c>
      <c r="X11" s="7" t="str" cm="1">
        <f t="array" ref="X11">_xlfn.IFS(AND(X$3=$E11, X$3=$D11),"ou",X$3=$E11,"u",X$3=$D11,"o",TRUE,"")</f>
        <v/>
      </c>
      <c r="Y11" s="7" t="str" cm="1">
        <f t="array" ref="Y11">_xlfn.IFS(AND(Y$3=$E11, Y$3=$D11),"ou",Y$3=$E11,"u",Y$3=$D11,"o",TRUE,"")</f>
        <v/>
      </c>
      <c r="Z11" s="7" t="str" cm="1">
        <f t="array" ref="Z11">_xlfn.IFS(AND(Z$3=$E11, Z$3=$D11),"ou",Z$3=$E11,"u",Z$3=$D11,"o",TRUE,"")</f>
        <v/>
      </c>
    </row>
    <row r="12" spans="2:26" ht="28.8" x14ac:dyDescent="0.3">
      <c r="B12" s="10">
        <v>2.2999999999999998</v>
      </c>
      <c r="C12" s="15" t="s">
        <v>7</v>
      </c>
      <c r="D12" s="12">
        <v>46087</v>
      </c>
      <c r="E12" s="12">
        <v>46087</v>
      </c>
      <c r="F12" s="13">
        <f t="shared" si="0"/>
        <v>1</v>
      </c>
      <c r="G12" s="10">
        <v>2.2000000000000002</v>
      </c>
      <c r="H12" s="16" t="s">
        <v>43</v>
      </c>
      <c r="I12" s="13" t="s">
        <v>58</v>
      </c>
      <c r="J12" s="14">
        <v>1</v>
      </c>
      <c r="K12" s="7" t="str" cm="1">
        <f t="array" ref="K12">_xlfn.IFS(AND(K$3=$E12, K$3=$D12),"ou",K$3=$E12,"u",K$3=$D12,"o",TRUE,"")</f>
        <v/>
      </c>
      <c r="L12" s="7" t="str" cm="1">
        <f t="array" ref="L12">_xlfn.IFS(AND(L$3=$E12, L$3=$D12),"ou",L$3=$E12,"u",L$3=$D12,"o",TRUE,"")</f>
        <v/>
      </c>
      <c r="M12" s="7" t="str" cm="1">
        <f t="array" ref="M12">_xlfn.IFS(AND(M$3=$E12, M$3=$D12),"ou",M$3=$E12,"u",M$3=$D12,"o",TRUE,"")</f>
        <v>ou</v>
      </c>
      <c r="N12" s="7" t="str" cm="1">
        <f t="array" ref="N12">_xlfn.IFS(AND(N$3=$E12, N$3=$D12),"ou",N$3=$E12,"u",N$3=$D12,"o",TRUE,"")</f>
        <v/>
      </c>
      <c r="O12" s="7" t="str" cm="1">
        <f t="array" ref="O12">_xlfn.IFS(AND(O$3=$E12, O$3=$D12),"ou",O$3=$E12,"u",O$3=$D12,"o",TRUE,"")</f>
        <v/>
      </c>
      <c r="P12" s="7" t="str" cm="1">
        <f t="array" ref="P12">_xlfn.IFS(AND(P$3=$E12, P$3=$D12),"ou",P$3=$E12,"u",P$3=$D12,"o",TRUE,"")</f>
        <v/>
      </c>
      <c r="Q12" s="7" t="str" cm="1">
        <f t="array" ref="Q12">_xlfn.IFS(AND(Q$3=$E12, Q$3=$D12),"ou",Q$3=$E12,"u",Q$3=$D12,"o",TRUE,"")</f>
        <v/>
      </c>
      <c r="R12" s="7" t="str" cm="1">
        <f t="array" ref="R12">_xlfn.IFS(AND(R$3=$E12, R$3=$D12),"ou",R$3=$E12,"u",R$3=$D12,"o",TRUE,"")</f>
        <v/>
      </c>
      <c r="S12" s="7" t="str" cm="1">
        <f t="array" ref="S12">_xlfn.IFS(AND(S$3=$E12, S$3=$D12),"ou",S$3=$E12,"u",S$3=$D12,"o",TRUE,"")</f>
        <v/>
      </c>
      <c r="T12" s="7" t="str" cm="1">
        <f t="array" ref="T12">_xlfn.IFS(AND(T$3=$E12, T$3=$D12),"ou",T$3=$E12,"u",T$3=$D12,"o",TRUE,"")</f>
        <v/>
      </c>
      <c r="U12" s="7" t="str" cm="1">
        <f t="array" ref="U12">_xlfn.IFS(AND(U$3=$E12, U$3=$D12),"ou",U$3=$E12,"u",U$3=$D12,"o",TRUE,"")</f>
        <v/>
      </c>
      <c r="V12" s="7" t="str" cm="1">
        <f t="array" ref="V12">_xlfn.IFS(AND(V$3=$E12, V$3=$D12),"ou",V$3=$E12,"u",V$3=$D12,"o",TRUE,"")</f>
        <v/>
      </c>
      <c r="W12" s="7" t="str" cm="1">
        <f t="array" ref="W12">_xlfn.IFS(AND(W$3=$E12, W$3=$D12),"ou",W$3=$E12,"u",W$3=$D12,"o",TRUE,"")</f>
        <v/>
      </c>
      <c r="X12" s="7" t="str" cm="1">
        <f t="array" ref="X12">_xlfn.IFS(AND(X$3=$E12, X$3=$D12),"ou",X$3=$E12,"u",X$3=$D12,"o",TRUE,"")</f>
        <v/>
      </c>
      <c r="Y12" s="7" t="str" cm="1">
        <f t="array" ref="Y12">_xlfn.IFS(AND(Y$3=$E12, Y$3=$D12),"ou",Y$3=$E12,"u",Y$3=$D12,"o",TRUE,"")</f>
        <v/>
      </c>
      <c r="Z12" s="7" t="str" cm="1">
        <f t="array" ref="Z12">_xlfn.IFS(AND(Z$3=$E12, Z$3=$D12),"ou",Z$3=$E12,"u",Z$3=$D12,"o",TRUE,"")</f>
        <v/>
      </c>
    </row>
    <row r="13" spans="2:26" x14ac:dyDescent="0.3">
      <c r="B13" s="10">
        <v>2.4</v>
      </c>
      <c r="C13" s="15" t="s">
        <v>11</v>
      </c>
      <c r="D13" s="12">
        <v>46090</v>
      </c>
      <c r="E13" s="12">
        <v>46090</v>
      </c>
      <c r="F13" s="13">
        <f t="shared" si="0"/>
        <v>1</v>
      </c>
      <c r="G13" s="10">
        <v>2.2999999999999998</v>
      </c>
      <c r="H13" s="13" t="s">
        <v>44</v>
      </c>
      <c r="I13" s="13" t="s">
        <v>58</v>
      </c>
      <c r="J13" s="14">
        <v>1</v>
      </c>
      <c r="K13" s="7" t="str" cm="1">
        <f t="array" ref="K13">_xlfn.IFS(AND(K$3=$E13, K$3=$D13),"ou",K$3=$E13,"u",K$3=$D13,"o",TRUE,"")</f>
        <v/>
      </c>
      <c r="L13" s="7" t="str" cm="1">
        <f t="array" ref="L13">_xlfn.IFS(AND(L$3=$E13, L$3=$D13),"ou",L$3=$E13,"u",L$3=$D13,"o",TRUE,"")</f>
        <v/>
      </c>
      <c r="M13" s="7" t="str" cm="1">
        <f t="array" ref="M13">_xlfn.IFS(AND(M$3=$E13, M$3=$D13),"ou",M$3=$E13,"u",M$3=$D13,"o",TRUE,"")</f>
        <v/>
      </c>
      <c r="N13" s="7" t="str" cm="1">
        <f t="array" ref="N13">_xlfn.IFS(AND(N$3=$E13, N$3=$D13),"ou",N$3=$E13,"u",N$3=$D13,"o",TRUE,"")</f>
        <v>ou</v>
      </c>
      <c r="O13" s="7" t="str" cm="1">
        <f t="array" ref="O13">_xlfn.IFS(AND(O$3=$E13, O$3=$D13),"ou",O$3=$E13,"u",O$3=$D13,"o",TRUE,"")</f>
        <v/>
      </c>
      <c r="P13" s="7" t="str" cm="1">
        <f t="array" ref="P13">_xlfn.IFS(AND(P$3=$E13, P$3=$D13),"ou",P$3=$E13,"u",P$3=$D13,"o",TRUE,"")</f>
        <v/>
      </c>
      <c r="Q13" s="7" t="str" cm="1">
        <f t="array" ref="Q13">_xlfn.IFS(AND(Q$3=$E13, Q$3=$D13),"ou",Q$3=$E13,"u",Q$3=$D13,"o",TRUE,"")</f>
        <v/>
      </c>
      <c r="R13" s="7" t="str" cm="1">
        <f t="array" ref="R13">_xlfn.IFS(AND(R$3=$E13, R$3=$D13),"ou",R$3=$E13,"u",R$3=$D13,"o",TRUE,"")</f>
        <v/>
      </c>
      <c r="S13" s="7" t="str" cm="1">
        <f t="array" ref="S13">_xlfn.IFS(AND(S$3=$E13, S$3=$D13),"ou",S$3=$E13,"u",S$3=$D13,"o",TRUE,"")</f>
        <v/>
      </c>
      <c r="T13" s="7" t="str" cm="1">
        <f t="array" ref="T13">_xlfn.IFS(AND(T$3=$E13, T$3=$D13),"ou",T$3=$E13,"u",T$3=$D13,"o",TRUE,"")</f>
        <v/>
      </c>
      <c r="U13" s="7" t="str" cm="1">
        <f t="array" ref="U13">_xlfn.IFS(AND(U$3=$E13, U$3=$D13),"ou",U$3=$E13,"u",U$3=$D13,"o",TRUE,"")</f>
        <v/>
      </c>
      <c r="V13" s="7" t="str" cm="1">
        <f t="array" ref="V13">_xlfn.IFS(AND(V$3=$E13, V$3=$D13),"ou",V$3=$E13,"u",V$3=$D13,"o",TRUE,"")</f>
        <v/>
      </c>
      <c r="W13" s="7" t="str" cm="1">
        <f t="array" ref="W13">_xlfn.IFS(AND(W$3=$E13, W$3=$D13),"ou",W$3=$E13,"u",W$3=$D13,"o",TRUE,"")</f>
        <v/>
      </c>
      <c r="X13" s="7" t="str" cm="1">
        <f t="array" ref="X13">_xlfn.IFS(AND(X$3=$E13, X$3=$D13),"ou",X$3=$E13,"u",X$3=$D13,"o",TRUE,"")</f>
        <v/>
      </c>
      <c r="Y13" s="7" t="str" cm="1">
        <f t="array" ref="Y13">_xlfn.IFS(AND(Y$3=$E13, Y$3=$D13),"ou",Y$3=$E13,"u",Y$3=$D13,"o",TRUE,"")</f>
        <v/>
      </c>
      <c r="Z13" s="7" t="str" cm="1">
        <f t="array" ref="Z13">_xlfn.IFS(AND(Z$3=$E13, Z$3=$D13),"ou",Z$3=$E13,"u",Z$3=$D13,"o",TRUE,"")</f>
        <v/>
      </c>
    </row>
    <row r="14" spans="2:26" x14ac:dyDescent="0.3">
      <c r="B14" s="10">
        <v>3</v>
      </c>
      <c r="C14" s="15" t="s">
        <v>8</v>
      </c>
      <c r="D14" s="12">
        <v>46091</v>
      </c>
      <c r="E14" s="12">
        <v>46101</v>
      </c>
      <c r="F14" s="13">
        <f t="shared" si="0"/>
        <v>9</v>
      </c>
      <c r="G14" s="10">
        <v>2</v>
      </c>
      <c r="H14" s="13" t="s">
        <v>40</v>
      </c>
      <c r="I14" s="13" t="s">
        <v>56</v>
      </c>
      <c r="J14" s="14">
        <v>0.6</v>
      </c>
      <c r="K14" s="7" t="str" cm="1">
        <f t="array" ref="K14">_xlfn.IFS(AND(K$3=$E14, K$3=$D14),"ou",K$3=$E14,"u",K$3=$D14,"o",TRUE,"")</f>
        <v/>
      </c>
      <c r="L14" s="7" t="str" cm="1">
        <f t="array" ref="L14">_xlfn.IFS(AND(L$3=$E14, L$3=$D14),"ou",L$3=$E14,"u",L$3=$D14,"o",TRUE,"")</f>
        <v/>
      </c>
      <c r="M14" s="7" t="str" cm="1">
        <f t="array" ref="M14">_xlfn.IFS(AND(M$3=$E14, M$3=$D14),"ou",M$3=$E14,"u",M$3=$D14,"o",TRUE,"")</f>
        <v/>
      </c>
      <c r="N14" s="7" t="str" cm="1">
        <f t="array" ref="N14">_xlfn.IFS(AND(N$3=$E14, N$3=$D14),"ou",N$3=$E14,"u",N$3=$D14,"o",TRUE,"")</f>
        <v/>
      </c>
      <c r="O14" s="7" t="str" cm="1">
        <f t="array" ref="O14">_xlfn.IFS(AND(O$3=$E14, O$3=$D14),"ou",O$3=$E14,"u",O$3=$D14,"o",TRUE,"")</f>
        <v>o</v>
      </c>
      <c r="P14" s="7" t="str" cm="1">
        <f t="array" ref="P14">_xlfn.IFS(AND(P$3=$E14, P$3=$D14),"ou",P$3=$E14,"u",P$3=$D14,"o",TRUE,"")</f>
        <v/>
      </c>
      <c r="Q14" s="7" t="str" cm="1">
        <f t="array" ref="Q14">_xlfn.IFS(AND(Q$3=$E14, Q$3=$D14),"ou",Q$3=$E14,"u",Q$3=$D14,"o",TRUE,"")</f>
        <v/>
      </c>
      <c r="R14" s="7" t="str" cm="1">
        <f t="array" ref="R14">_xlfn.IFS(AND(R$3=$E14, R$3=$D14),"ou",R$3=$E14,"u",R$3=$D14,"o",TRUE,"")</f>
        <v/>
      </c>
      <c r="S14" s="7" t="str" cm="1">
        <f t="array" ref="S14">_xlfn.IFS(AND(S$3=$E14, S$3=$D14),"ou",S$3=$E14,"u",S$3=$D14,"o",TRUE,"")</f>
        <v/>
      </c>
      <c r="T14" s="7" t="str" cm="1">
        <f t="array" ref="T14">_xlfn.IFS(AND(T$3=$E14, T$3=$D14),"ou",T$3=$E14,"u",T$3=$D14,"o",TRUE,"")</f>
        <v/>
      </c>
      <c r="U14" s="7" t="str" cm="1">
        <f t="array" ref="U14">_xlfn.IFS(AND(U$3=$E14, U$3=$D14),"ou",U$3=$E14,"u",U$3=$D14,"o",TRUE,"")</f>
        <v/>
      </c>
      <c r="V14" s="7" t="str" cm="1">
        <f t="array" ref="V14">_xlfn.IFS(AND(V$3=$E14, V$3=$D14),"ou",V$3=$E14,"u",V$3=$D14,"o",TRUE,"")</f>
        <v/>
      </c>
      <c r="W14" s="7" t="str" cm="1">
        <f t="array" ref="W14">_xlfn.IFS(AND(W$3=$E14, W$3=$D14),"ou",W$3=$E14,"u",W$3=$D14,"o",TRUE,"")</f>
        <v>u</v>
      </c>
      <c r="X14" s="7" t="str" cm="1">
        <f t="array" ref="X14">_xlfn.IFS(AND(X$3=$E14, X$3=$D14),"ou",X$3=$E14,"u",X$3=$D14,"o",TRUE,"")</f>
        <v/>
      </c>
      <c r="Y14" s="7" t="str" cm="1">
        <f t="array" ref="Y14">_xlfn.IFS(AND(Y$3=$E14, Y$3=$D14),"ou",Y$3=$E14,"u",Y$3=$D14,"o",TRUE,"")</f>
        <v/>
      </c>
      <c r="Z14" s="7" t="str" cm="1">
        <f t="array" ref="Z14">_xlfn.IFS(AND(Z$3=$E14, Z$3=$D14),"ou",Z$3=$E14,"u",Z$3=$D14,"o",TRUE,"")</f>
        <v/>
      </c>
    </row>
    <row r="15" spans="2:26" ht="28.8" x14ac:dyDescent="0.3">
      <c r="B15" s="10">
        <v>3.1</v>
      </c>
      <c r="C15" s="16" t="s">
        <v>28</v>
      </c>
      <c r="D15" s="12">
        <v>46091</v>
      </c>
      <c r="E15" s="12">
        <v>46092</v>
      </c>
      <c r="F15" s="13">
        <f t="shared" si="0"/>
        <v>2</v>
      </c>
      <c r="G15" s="10">
        <v>2</v>
      </c>
      <c r="H15" s="16" t="s">
        <v>45</v>
      </c>
      <c r="I15" s="13" t="s">
        <v>58</v>
      </c>
      <c r="J15" s="14">
        <v>1</v>
      </c>
      <c r="K15" s="7" t="str" cm="1">
        <f t="array" ref="K15">_xlfn.IFS(AND(K$3=$E15, K$3=$D15),"ou",K$3=$E15,"u",K$3=$D15,"o",TRUE,"")</f>
        <v/>
      </c>
      <c r="L15" s="7" t="str" cm="1">
        <f t="array" ref="L15">_xlfn.IFS(AND(L$3=$E15, L$3=$D15),"ou",L$3=$E15,"u",L$3=$D15,"o",TRUE,"")</f>
        <v/>
      </c>
      <c r="M15" s="7" t="str" cm="1">
        <f t="array" ref="M15">_xlfn.IFS(AND(M$3=$E15, M$3=$D15),"ou",M$3=$E15,"u",M$3=$D15,"o",TRUE,"")</f>
        <v/>
      </c>
      <c r="N15" s="7" t="str" cm="1">
        <f t="array" ref="N15">_xlfn.IFS(AND(N$3=$E15, N$3=$D15),"ou",N$3=$E15,"u",N$3=$D15,"o",TRUE,"")</f>
        <v/>
      </c>
      <c r="O15" s="7" t="str" cm="1">
        <f t="array" ref="O15">_xlfn.IFS(AND(O$3=$E15, O$3=$D15),"ou",O$3=$E15,"u",O$3=$D15,"o",TRUE,"")</f>
        <v>o</v>
      </c>
      <c r="P15" s="7" t="str" cm="1">
        <f t="array" ref="P15">_xlfn.IFS(AND(P$3=$E15, P$3=$D15),"ou",P$3=$E15,"u",P$3=$D15,"o",TRUE,"")</f>
        <v>u</v>
      </c>
      <c r="Q15" s="7" t="str" cm="1">
        <f t="array" ref="Q15">_xlfn.IFS(AND(Q$3=$E15, Q$3=$D15),"ou",Q$3=$E15,"u",Q$3=$D15,"o",TRUE,"")</f>
        <v/>
      </c>
      <c r="R15" s="7" t="str" cm="1">
        <f t="array" ref="R15">_xlfn.IFS(AND(R$3=$E15, R$3=$D15),"ou",R$3=$E15,"u",R$3=$D15,"o",TRUE,"")</f>
        <v/>
      </c>
      <c r="S15" s="7" t="str" cm="1">
        <f t="array" ref="S15">_xlfn.IFS(AND(S$3=$E15, S$3=$D15),"ou",S$3=$E15,"u",S$3=$D15,"o",TRUE,"")</f>
        <v/>
      </c>
      <c r="T15" s="7" t="str" cm="1">
        <f t="array" ref="T15">_xlfn.IFS(AND(T$3=$E15, T$3=$D15),"ou",T$3=$E15,"u",T$3=$D15,"o",TRUE,"")</f>
        <v/>
      </c>
      <c r="U15" s="7" t="str" cm="1">
        <f t="array" ref="U15">_xlfn.IFS(AND(U$3=$E15, U$3=$D15),"ou",U$3=$E15,"u",U$3=$D15,"o",TRUE,"")</f>
        <v/>
      </c>
      <c r="V15" s="7" t="str" cm="1">
        <f t="array" ref="V15">_xlfn.IFS(AND(V$3=$E15, V$3=$D15),"ou",V$3=$E15,"u",V$3=$D15,"o",TRUE,"")</f>
        <v/>
      </c>
      <c r="W15" s="7" t="str" cm="1">
        <f t="array" ref="W15">_xlfn.IFS(AND(W$3=$E15, W$3=$D15),"ou",W$3=$E15,"u",W$3=$D15,"o",TRUE,"")</f>
        <v/>
      </c>
      <c r="X15" s="7" t="str" cm="1">
        <f t="array" ref="X15">_xlfn.IFS(AND(X$3=$E15, X$3=$D15),"ou",X$3=$E15,"u",X$3=$D15,"o",TRUE,"")</f>
        <v/>
      </c>
      <c r="Y15" s="7" t="str" cm="1">
        <f t="array" ref="Y15">_xlfn.IFS(AND(Y$3=$E15, Y$3=$D15),"ou",Y$3=$E15,"u",Y$3=$D15,"o",TRUE,"")</f>
        <v/>
      </c>
      <c r="Z15" s="7" t="str" cm="1">
        <f t="array" ref="Z15">_xlfn.IFS(AND(Z$3=$E15, Z$3=$D15),"ou",Z$3=$E15,"u",Z$3=$D15,"o",TRUE,"")</f>
        <v/>
      </c>
    </row>
    <row r="16" spans="2:26" ht="28.8" x14ac:dyDescent="0.3">
      <c r="B16" s="10">
        <v>3.2</v>
      </c>
      <c r="C16" s="16" t="s">
        <v>59</v>
      </c>
      <c r="D16" s="12">
        <v>46093</v>
      </c>
      <c r="E16" s="12">
        <v>46093</v>
      </c>
      <c r="F16" s="13">
        <f t="shared" si="0"/>
        <v>1</v>
      </c>
      <c r="G16" s="10">
        <v>3.1</v>
      </c>
      <c r="H16" s="16" t="s">
        <v>63</v>
      </c>
      <c r="I16" s="13" t="s">
        <v>58</v>
      </c>
      <c r="J16" s="14">
        <v>1</v>
      </c>
      <c r="K16" s="7" t="str" cm="1">
        <f t="array" ref="K16">_xlfn.IFS(AND(K$3=$E16, K$3=$D16),"ou",K$3=$E16,"u",K$3=$D16,"o",TRUE,"")</f>
        <v/>
      </c>
      <c r="L16" s="7" t="str" cm="1">
        <f t="array" ref="L16">_xlfn.IFS(AND(L$3=$E16, L$3=$D16),"ou",L$3=$E16,"u",L$3=$D16,"o",TRUE,"")</f>
        <v/>
      </c>
      <c r="M16" s="7" t="str" cm="1">
        <f t="array" ref="M16">_xlfn.IFS(AND(M$3=$E16, M$3=$D16),"ou",M$3=$E16,"u",M$3=$D16,"o",TRUE,"")</f>
        <v/>
      </c>
      <c r="N16" s="7" t="str" cm="1">
        <f t="array" ref="N16">_xlfn.IFS(AND(N$3=$E16, N$3=$D16),"ou",N$3=$E16,"u",N$3=$D16,"o",TRUE,"")</f>
        <v/>
      </c>
      <c r="O16" s="7" t="str" cm="1">
        <f t="array" ref="O16">_xlfn.IFS(AND(O$3=$E16, O$3=$D16),"ou",O$3=$E16,"u",O$3=$D16,"o",TRUE,"")</f>
        <v/>
      </c>
      <c r="P16" s="7" t="str" cm="1">
        <f t="array" ref="P16">_xlfn.IFS(AND(P$3=$E16, P$3=$D16),"ou",P$3=$E16,"u",P$3=$D16,"o",TRUE,"")</f>
        <v/>
      </c>
      <c r="Q16" s="7" t="str" cm="1">
        <f t="array" ref="Q16">_xlfn.IFS(AND(Q$3=$E16, Q$3=$D16),"ou",Q$3=$E16,"u",Q$3=$D16,"o",TRUE,"")</f>
        <v>ou</v>
      </c>
      <c r="R16" s="7" t="str" cm="1">
        <f t="array" ref="R16">_xlfn.IFS(AND(R$3=$E16, R$3=$D16),"ou",R$3=$E16,"u",R$3=$D16,"o",TRUE,"")</f>
        <v/>
      </c>
      <c r="S16" s="7" t="str" cm="1">
        <f t="array" ref="S16">_xlfn.IFS(AND(S$3=$E16, S$3=$D16),"ou",S$3=$E16,"u",S$3=$D16,"o",TRUE,"")</f>
        <v/>
      </c>
      <c r="T16" s="7" t="str" cm="1">
        <f t="array" ref="T16">_xlfn.IFS(AND(T$3=$E16, T$3=$D16),"ou",T$3=$E16,"u",T$3=$D16,"o",TRUE,"")</f>
        <v/>
      </c>
      <c r="U16" s="7" t="str" cm="1">
        <f t="array" ref="U16">_xlfn.IFS(AND(U$3=$E16, U$3=$D16),"ou",U$3=$E16,"u",U$3=$D16,"o",TRUE,"")</f>
        <v/>
      </c>
      <c r="V16" s="7" t="str" cm="1">
        <f t="array" ref="V16">_xlfn.IFS(AND(V$3=$E16, V$3=$D16),"ou",V$3=$E16,"u",V$3=$D16,"o",TRUE,"")</f>
        <v/>
      </c>
      <c r="W16" s="7" t="str" cm="1">
        <f t="array" ref="W16">_xlfn.IFS(AND(W$3=$E16, W$3=$D16),"ou",W$3=$E16,"u",W$3=$D16,"o",TRUE,"")</f>
        <v/>
      </c>
      <c r="X16" s="7" t="str" cm="1">
        <f t="array" ref="X16">_xlfn.IFS(AND(X$3=$E16, X$3=$D16),"ou",X$3=$E16,"u",X$3=$D16,"o",TRUE,"")</f>
        <v/>
      </c>
      <c r="Y16" s="7" t="str" cm="1">
        <f t="array" ref="Y16">_xlfn.IFS(AND(Y$3=$E16, Y$3=$D16),"ou",Y$3=$E16,"u",Y$3=$D16,"o",TRUE,"")</f>
        <v/>
      </c>
      <c r="Z16" s="7" t="str" cm="1">
        <f t="array" ref="Z16">_xlfn.IFS(AND(Z$3=$E16, Z$3=$D16),"ou",Z$3=$E16,"u",Z$3=$D16,"o",TRUE,"")</f>
        <v/>
      </c>
    </row>
    <row r="17" spans="2:26" ht="28.8" x14ac:dyDescent="0.3">
      <c r="B17" s="10">
        <v>3.3</v>
      </c>
      <c r="C17" s="16" t="s">
        <v>29</v>
      </c>
      <c r="D17" s="12">
        <v>46094</v>
      </c>
      <c r="E17" s="12">
        <v>46094</v>
      </c>
      <c r="F17" s="13">
        <f t="shared" si="0"/>
        <v>1</v>
      </c>
      <c r="G17" s="10">
        <v>4.0999999999999996</v>
      </c>
      <c r="H17" s="13" t="s">
        <v>46</v>
      </c>
      <c r="I17" s="13" t="s">
        <v>58</v>
      </c>
      <c r="J17" s="14">
        <v>1</v>
      </c>
      <c r="K17" s="7" t="str" cm="1">
        <f t="array" ref="K17">_xlfn.IFS(AND(K$3=$E17, K$3=$D17),"ou",K$3=$E17,"u",K$3=$D17,"o",TRUE,"")</f>
        <v/>
      </c>
      <c r="L17" s="7" t="str" cm="1">
        <f t="array" ref="L17">_xlfn.IFS(AND(L$3=$E17, L$3=$D17),"ou",L$3=$E17,"u",L$3=$D17,"o",TRUE,"")</f>
        <v/>
      </c>
      <c r="M17" s="7" t="str" cm="1">
        <f t="array" ref="M17">_xlfn.IFS(AND(M$3=$E17, M$3=$D17),"ou",M$3=$E17,"u",M$3=$D17,"o",TRUE,"")</f>
        <v/>
      </c>
      <c r="N17" s="7" t="str" cm="1">
        <f t="array" ref="N17">_xlfn.IFS(AND(N$3=$E17, N$3=$D17),"ou",N$3=$E17,"u",N$3=$D17,"o",TRUE,"")</f>
        <v/>
      </c>
      <c r="O17" s="7" t="str" cm="1">
        <f t="array" ref="O17">_xlfn.IFS(AND(O$3=$E17, O$3=$D17),"ou",O$3=$E17,"u",O$3=$D17,"o",TRUE,"")</f>
        <v/>
      </c>
      <c r="P17" s="7" t="str" cm="1">
        <f t="array" ref="P17">_xlfn.IFS(AND(P$3=$E17, P$3=$D17),"ou",P$3=$E17,"u",P$3=$D17,"o",TRUE,"")</f>
        <v/>
      </c>
      <c r="Q17" s="7" t="str" cm="1">
        <f t="array" ref="Q17">_xlfn.IFS(AND(Q$3=$E17, Q$3=$D17),"ou",Q$3=$E17,"u",Q$3=$D17,"o",TRUE,"")</f>
        <v/>
      </c>
      <c r="R17" s="7" t="str" cm="1">
        <f t="array" ref="R17">_xlfn.IFS(AND(R$3=$E17, R$3=$D17),"ou",R$3=$E17,"u",R$3=$D17,"o",TRUE,"")</f>
        <v>ou</v>
      </c>
      <c r="S17" s="7" t="str" cm="1">
        <f t="array" ref="S17">_xlfn.IFS(AND(S$3=$E17, S$3=$D17),"ou",S$3=$E17,"u",S$3=$D17,"o",TRUE,"")</f>
        <v/>
      </c>
      <c r="T17" s="7" t="str" cm="1">
        <f t="array" ref="T17">_xlfn.IFS(AND(T$3=$E17, T$3=$D17),"ou",T$3=$E17,"u",T$3=$D17,"o",TRUE,"")</f>
        <v/>
      </c>
      <c r="U17" s="7" t="str" cm="1">
        <f t="array" ref="U17">_xlfn.IFS(AND(U$3=$E17, U$3=$D17),"ou",U$3=$E17,"u",U$3=$D17,"o",TRUE,"")</f>
        <v/>
      </c>
      <c r="V17" s="7" t="str" cm="1">
        <f t="array" ref="V17">_xlfn.IFS(AND(V$3=$E17, V$3=$D17),"ou",V$3=$E17,"u",V$3=$D17,"o",TRUE,"")</f>
        <v/>
      </c>
      <c r="W17" s="7" t="str" cm="1">
        <f t="array" ref="W17">_xlfn.IFS(AND(W$3=$E17, W$3=$D17),"ou",W$3=$E17,"u",W$3=$D17,"o",TRUE,"")</f>
        <v/>
      </c>
      <c r="X17" s="7" t="str" cm="1">
        <f t="array" ref="X17">_xlfn.IFS(AND(X$3=$E17, X$3=$D17),"ou",X$3=$E17,"u",X$3=$D17,"o",TRUE,"")</f>
        <v/>
      </c>
      <c r="Y17" s="7" t="str" cm="1">
        <f t="array" ref="Y17">_xlfn.IFS(AND(Y$3=$E17, Y$3=$D17),"ou",Y$3=$E17,"u",Y$3=$D17,"o",TRUE,"")</f>
        <v/>
      </c>
      <c r="Z17" s="7" t="str" cm="1">
        <f t="array" ref="Z17">_xlfn.IFS(AND(Z$3=$E17, Z$3=$D17),"ou",Z$3=$E17,"u",Z$3=$D17,"o",TRUE,"")</f>
        <v/>
      </c>
    </row>
    <row r="18" spans="2:26" ht="28.8" x14ac:dyDescent="0.3">
      <c r="B18" s="10">
        <v>3.4</v>
      </c>
      <c r="C18" s="16" t="s">
        <v>60</v>
      </c>
      <c r="D18" s="12">
        <v>46094</v>
      </c>
      <c r="E18" s="12">
        <v>46094</v>
      </c>
      <c r="F18" s="13">
        <f>(NETWORKDAYS(D18,E18))</f>
        <v>1</v>
      </c>
      <c r="G18" s="10">
        <v>3.3</v>
      </c>
      <c r="H18" s="13" t="s">
        <v>64</v>
      </c>
      <c r="I18" s="13" t="s">
        <v>58</v>
      </c>
      <c r="J18" s="14">
        <v>1</v>
      </c>
      <c r="K18" s="7" t="str" cm="1">
        <f t="array" ref="K18">_xlfn.IFS(AND(K$3=$E18, K$3=$D18),"ou",K$3=$E18,"u",K$3=$D18,"o",TRUE,"")</f>
        <v/>
      </c>
      <c r="L18" s="7" t="str" cm="1">
        <f t="array" ref="L18">_xlfn.IFS(AND(L$3=$E18, L$3=$D18),"ou",L$3=$E18,"u",L$3=$D18,"o",TRUE,"")</f>
        <v/>
      </c>
      <c r="M18" s="7" t="str" cm="1">
        <f t="array" ref="M18">_xlfn.IFS(AND(M$3=$E18, M$3=$D18),"ou",M$3=$E18,"u",M$3=$D18,"o",TRUE,"")</f>
        <v/>
      </c>
      <c r="N18" s="7" t="str" cm="1">
        <f t="array" ref="N18">_xlfn.IFS(AND(N$3=$E18, N$3=$D18),"ou",N$3=$E18,"u",N$3=$D18,"o",TRUE,"")</f>
        <v/>
      </c>
      <c r="O18" s="7" t="str" cm="1">
        <f t="array" ref="O18">_xlfn.IFS(AND(O$3=$E18, O$3=$D18),"ou",O$3=$E18,"u",O$3=$D18,"o",TRUE,"")</f>
        <v/>
      </c>
      <c r="P18" s="7" t="str" cm="1">
        <f t="array" ref="P18">_xlfn.IFS(AND(P$3=$E18, P$3=$D18),"ou",P$3=$E18,"u",P$3=$D18,"o",TRUE,"")</f>
        <v/>
      </c>
      <c r="Q18" s="7" t="str" cm="1">
        <f t="array" ref="Q18">_xlfn.IFS(AND(Q$3=$E18, Q$3=$D18),"ou",Q$3=$E18,"u",Q$3=$D18,"o",TRUE,"")</f>
        <v/>
      </c>
      <c r="R18" s="7" t="str" cm="1">
        <f t="array" ref="R18">_xlfn.IFS(AND(R$3=$E18, R$3=$D18),"ou",R$3=$E18,"u",R$3=$D18,"o",TRUE,"")</f>
        <v>ou</v>
      </c>
      <c r="S18" s="7" t="str" cm="1">
        <f t="array" ref="S18">_xlfn.IFS(AND(S$3=$E18, S$3=$D18),"ou",S$3=$E18,"u",S$3=$D18,"o",TRUE,"")</f>
        <v/>
      </c>
      <c r="T18" s="7" t="str" cm="1">
        <f t="array" ref="T18">_xlfn.IFS(AND(T$3=$E18, T$3=$D18),"ou",T$3=$E18,"u",T$3=$D18,"o",TRUE,"")</f>
        <v/>
      </c>
      <c r="U18" s="7" t="str" cm="1">
        <f t="array" ref="U18">_xlfn.IFS(AND(U$3=$E18, U$3=$D18),"ou",U$3=$E18,"u",U$3=$D18,"o",TRUE,"")</f>
        <v/>
      </c>
      <c r="V18" s="7" t="str" cm="1">
        <f t="array" ref="V18">_xlfn.IFS(AND(V$3=$E18, V$3=$D18),"ou",V$3=$E18,"u",V$3=$D18,"o",TRUE,"")</f>
        <v/>
      </c>
      <c r="W18" s="7" t="str" cm="1">
        <f t="array" ref="W18">_xlfn.IFS(AND(W$3=$E18, W$3=$D18),"ou",W$3=$E18,"u",W$3=$D18,"o",TRUE,"")</f>
        <v/>
      </c>
      <c r="X18" s="7" t="str" cm="1">
        <f t="array" ref="X18">_xlfn.IFS(AND(X$3=$E18, X$3=$D18),"ou",X$3=$E18,"u",X$3=$D18,"o",TRUE,"")</f>
        <v/>
      </c>
      <c r="Y18" s="7" t="str" cm="1">
        <f t="array" ref="Y18">_xlfn.IFS(AND(Y$3=$E18, Y$3=$D18),"ou",Y$3=$E18,"u",Y$3=$D18,"o",TRUE,"")</f>
        <v/>
      </c>
      <c r="Z18" s="7" t="str" cm="1">
        <f t="array" ref="Z18">_xlfn.IFS(AND(Z$3=$E18, Z$3=$D18),"ou",Z$3=$E18,"u",Z$3=$D18,"o",TRUE,"")</f>
        <v/>
      </c>
    </row>
    <row r="19" spans="2:26" x14ac:dyDescent="0.3">
      <c r="B19" s="10">
        <v>3.5</v>
      </c>
      <c r="C19" s="15" t="s">
        <v>9</v>
      </c>
      <c r="D19" s="12">
        <v>46097</v>
      </c>
      <c r="E19" s="12">
        <v>46097</v>
      </c>
      <c r="F19" s="13">
        <f t="shared" si="0"/>
        <v>1</v>
      </c>
      <c r="G19" s="10">
        <v>2</v>
      </c>
      <c r="H19" s="13" t="s">
        <v>47</v>
      </c>
      <c r="I19" s="13" t="s">
        <v>56</v>
      </c>
      <c r="J19" s="14">
        <v>0</v>
      </c>
      <c r="K19" s="7" t="str" cm="1">
        <f t="array" ref="K19">_xlfn.IFS(AND(K$3=$E19, K$3=$D19),"ou",K$3=$E19,"u",K$3=$D19,"o",TRUE,"")</f>
        <v/>
      </c>
      <c r="L19" s="7" t="str" cm="1">
        <f t="array" ref="L19">_xlfn.IFS(AND(L$3=$E19, L$3=$D19),"ou",L$3=$E19,"u",L$3=$D19,"o",TRUE,"")</f>
        <v/>
      </c>
      <c r="M19" s="7" t="str" cm="1">
        <f t="array" ref="M19">_xlfn.IFS(AND(M$3=$E19, M$3=$D19),"ou",M$3=$E19,"u",M$3=$D19,"o",TRUE,"")</f>
        <v/>
      </c>
      <c r="N19" s="7" t="str" cm="1">
        <f t="array" ref="N19">_xlfn.IFS(AND(N$3=$E19, N$3=$D19),"ou",N$3=$E19,"u",N$3=$D19,"o",TRUE,"")</f>
        <v/>
      </c>
      <c r="O19" s="7" t="str" cm="1">
        <f t="array" ref="O19">_xlfn.IFS(AND(O$3=$E19, O$3=$D19),"ou",O$3=$E19,"u",O$3=$D19,"o",TRUE,"")</f>
        <v/>
      </c>
      <c r="P19" s="7" t="str" cm="1">
        <f t="array" ref="P19">_xlfn.IFS(AND(P$3=$E19, P$3=$D19),"ou",P$3=$E19,"u",P$3=$D19,"o",TRUE,"")</f>
        <v/>
      </c>
      <c r="Q19" s="7" t="str" cm="1">
        <f t="array" ref="Q19">_xlfn.IFS(AND(Q$3=$E19, Q$3=$D19),"ou",Q$3=$E19,"u",Q$3=$D19,"o",TRUE,"")</f>
        <v/>
      </c>
      <c r="R19" s="7" t="str" cm="1">
        <f t="array" ref="R19">_xlfn.IFS(AND(R$3=$E19, R$3=$D19),"ou",R$3=$E19,"u",R$3=$D19,"o",TRUE,"")</f>
        <v/>
      </c>
      <c r="S19" s="7" t="str" cm="1">
        <f t="array" ref="S19">_xlfn.IFS(AND(S$3=$E19, S$3=$D19),"ou",S$3=$E19,"u",S$3=$D19,"o",TRUE,"")</f>
        <v>ou</v>
      </c>
      <c r="T19" s="7" t="str" cm="1">
        <f t="array" ref="T19">_xlfn.IFS(AND(T$3=$E19, T$3=$D19),"ou",T$3=$E19,"u",T$3=$D19,"o",TRUE,"")</f>
        <v/>
      </c>
      <c r="U19" s="7" t="str" cm="1">
        <f t="array" ref="U19">_xlfn.IFS(AND(U$3=$E19, U$3=$D19),"ou",U$3=$E19,"u",U$3=$D19,"o",TRUE,"")</f>
        <v/>
      </c>
      <c r="V19" s="7" t="str" cm="1">
        <f t="array" ref="V19">_xlfn.IFS(AND(V$3=$E19, V$3=$D19),"ou",V$3=$E19,"u",V$3=$D19,"o",TRUE,"")</f>
        <v/>
      </c>
      <c r="W19" s="7" t="str" cm="1">
        <f t="array" ref="W19">_xlfn.IFS(AND(W$3=$E19, W$3=$D19),"ou",W$3=$E19,"u",W$3=$D19,"o",TRUE,"")</f>
        <v/>
      </c>
      <c r="X19" s="7" t="str" cm="1">
        <f t="array" ref="X19">_xlfn.IFS(AND(X$3=$E19, X$3=$D19),"ou",X$3=$E19,"u",X$3=$D19,"o",TRUE,"")</f>
        <v/>
      </c>
      <c r="Y19" s="7" t="str" cm="1">
        <f t="array" ref="Y19">_xlfn.IFS(AND(Y$3=$E19, Y$3=$D19),"ou",Y$3=$E19,"u",Y$3=$D19,"o",TRUE,"")</f>
        <v/>
      </c>
      <c r="Z19" s="7" t="str" cm="1">
        <f t="array" ref="Z19">_xlfn.IFS(AND(Z$3=$E19, Z$3=$D19),"ou",Z$3=$E19,"u",Z$3=$D19,"o",TRUE,"")</f>
        <v/>
      </c>
    </row>
    <row r="20" spans="2:26" ht="43.2" x14ac:dyDescent="0.3">
      <c r="B20" s="10">
        <v>3.6</v>
      </c>
      <c r="C20" s="16" t="s">
        <v>30</v>
      </c>
      <c r="D20" s="12">
        <v>46097</v>
      </c>
      <c r="E20" s="12">
        <v>46099</v>
      </c>
      <c r="F20" s="13">
        <f t="shared" si="0"/>
        <v>3</v>
      </c>
      <c r="G20" s="10" t="s">
        <v>36</v>
      </c>
      <c r="H20" s="16" t="s">
        <v>48</v>
      </c>
      <c r="I20" s="13" t="s">
        <v>56</v>
      </c>
      <c r="J20" s="14">
        <v>0.2</v>
      </c>
      <c r="K20" s="7" t="str" cm="1">
        <f t="array" ref="K20">_xlfn.IFS(AND(K$3=$E20, K$3=$D20),"ou",K$3=$E20,"u",K$3=$D20,"o",TRUE,"")</f>
        <v/>
      </c>
      <c r="L20" s="7" t="str" cm="1">
        <f t="array" ref="L20">_xlfn.IFS(AND(L$3=$E20, L$3=$D20),"ou",L$3=$E20,"u",L$3=$D20,"o",TRUE,"")</f>
        <v/>
      </c>
      <c r="M20" s="7" t="str" cm="1">
        <f t="array" ref="M20">_xlfn.IFS(AND(M$3=$E20, M$3=$D20),"ou",M$3=$E20,"u",M$3=$D20,"o",TRUE,"")</f>
        <v/>
      </c>
      <c r="N20" s="7" t="str" cm="1">
        <f t="array" ref="N20">_xlfn.IFS(AND(N$3=$E20, N$3=$D20),"ou",N$3=$E20,"u",N$3=$D20,"o",TRUE,"")</f>
        <v/>
      </c>
      <c r="O20" s="7" t="str" cm="1">
        <f t="array" ref="O20">_xlfn.IFS(AND(O$3=$E20, O$3=$D20),"ou",O$3=$E20,"u",O$3=$D20,"o",TRUE,"")</f>
        <v/>
      </c>
      <c r="P20" s="7" t="str" cm="1">
        <f t="array" ref="P20">_xlfn.IFS(AND(P$3=$E20, P$3=$D20),"ou",P$3=$E20,"u",P$3=$D20,"o",TRUE,"")</f>
        <v/>
      </c>
      <c r="Q20" s="7" t="str" cm="1">
        <f t="array" ref="Q20">_xlfn.IFS(AND(Q$3=$E20, Q$3=$D20),"ou",Q$3=$E20,"u",Q$3=$D20,"o",TRUE,"")</f>
        <v/>
      </c>
      <c r="R20" s="7" t="str" cm="1">
        <f t="array" ref="R20">_xlfn.IFS(AND(R$3=$E20, R$3=$D20),"ou",R$3=$E20,"u",R$3=$D20,"o",TRUE,"")</f>
        <v/>
      </c>
      <c r="S20" s="7" t="str" cm="1">
        <f t="array" ref="S20">_xlfn.IFS(AND(S$3=$E20, S$3=$D20),"ou",S$3=$E20,"u",S$3=$D20,"o",TRUE,"")</f>
        <v>o</v>
      </c>
      <c r="T20" s="7" t="str" cm="1">
        <f t="array" ref="T20">_xlfn.IFS(AND(T$3=$E20, T$3=$D20),"ou",T$3=$E20,"u",T$3=$D20,"o",TRUE,"")</f>
        <v/>
      </c>
      <c r="U20" s="7" t="str" cm="1">
        <f t="array" ref="U20">_xlfn.IFS(AND(U$3=$E20, U$3=$D20),"ou",U$3=$E20,"u",U$3=$D20,"o",TRUE,"")</f>
        <v>u</v>
      </c>
      <c r="V20" s="7" t="str" cm="1">
        <f t="array" ref="V20">_xlfn.IFS(AND(V$3=$E20, V$3=$D20),"ou",V$3=$E20,"u",V$3=$D20,"o",TRUE,"")</f>
        <v/>
      </c>
      <c r="W20" s="7" t="str" cm="1">
        <f t="array" ref="W20">_xlfn.IFS(AND(W$3=$E20, W$3=$D20),"ou",W$3=$E20,"u",W$3=$D20,"o",TRUE,"")</f>
        <v/>
      </c>
      <c r="X20" s="7" t="str" cm="1">
        <f t="array" ref="X20">_xlfn.IFS(AND(X$3=$E20, X$3=$D20),"ou",X$3=$E20,"u",X$3=$D20,"o",TRUE,"")</f>
        <v/>
      </c>
      <c r="Y20" s="7" t="str" cm="1">
        <f t="array" ref="Y20">_xlfn.IFS(AND(Y$3=$E20, Y$3=$D20),"ou",Y$3=$E20,"u",Y$3=$D20,"o",TRUE,"")</f>
        <v/>
      </c>
      <c r="Z20" s="7" t="str" cm="1">
        <f t="array" ref="Z20">_xlfn.IFS(AND(Z$3=$E20, Z$3=$D20),"ou",Z$3=$E20,"u",Z$3=$D20,"o",TRUE,"")</f>
        <v/>
      </c>
    </row>
    <row r="21" spans="2:26" ht="28.8" x14ac:dyDescent="0.3">
      <c r="B21" s="10">
        <v>3.7</v>
      </c>
      <c r="C21" s="16" t="s">
        <v>61</v>
      </c>
      <c r="D21" s="12">
        <v>46100</v>
      </c>
      <c r="E21" s="12">
        <v>46101</v>
      </c>
      <c r="F21" s="13">
        <f>(NETWORKDAYS(D21,E21))</f>
        <v>2</v>
      </c>
      <c r="G21" s="10">
        <v>3.6</v>
      </c>
      <c r="H21" s="16" t="s">
        <v>65</v>
      </c>
      <c r="I21" s="13" t="s">
        <v>57</v>
      </c>
      <c r="J21" s="14">
        <v>0</v>
      </c>
      <c r="K21" s="7" t="str" cm="1">
        <f t="array" ref="K21">_xlfn.IFS(AND(K$3=$E21, K$3=$D21),"ou",K$3=$E21,"u",K$3=$D21,"o",TRUE,"")</f>
        <v/>
      </c>
      <c r="L21" s="7" t="str" cm="1">
        <f t="array" ref="L21">_xlfn.IFS(AND(L$3=$E21, L$3=$D21),"ou",L$3=$E21,"u",L$3=$D21,"o",TRUE,"")</f>
        <v/>
      </c>
      <c r="M21" s="7" t="str" cm="1">
        <f t="array" ref="M21">_xlfn.IFS(AND(M$3=$E21, M$3=$D21),"ou",M$3=$E21,"u",M$3=$D21,"o",TRUE,"")</f>
        <v/>
      </c>
      <c r="N21" s="7" t="str" cm="1">
        <f t="array" ref="N21">_xlfn.IFS(AND(N$3=$E21, N$3=$D21),"ou",N$3=$E21,"u",N$3=$D21,"o",TRUE,"")</f>
        <v/>
      </c>
      <c r="O21" s="7" t="str" cm="1">
        <f t="array" ref="O21">_xlfn.IFS(AND(O$3=$E21, O$3=$D21),"ou",O$3=$E21,"u",O$3=$D21,"o",TRUE,"")</f>
        <v/>
      </c>
      <c r="P21" s="7" t="str" cm="1">
        <f t="array" ref="P21">_xlfn.IFS(AND(P$3=$E21, P$3=$D21),"ou",P$3=$E21,"u",P$3=$D21,"o",TRUE,"")</f>
        <v/>
      </c>
      <c r="Q21" s="7" t="str" cm="1">
        <f t="array" ref="Q21">_xlfn.IFS(AND(Q$3=$E21, Q$3=$D21),"ou",Q$3=$E21,"u",Q$3=$D21,"o",TRUE,"")</f>
        <v/>
      </c>
      <c r="R21" s="7" t="str" cm="1">
        <f t="array" ref="R21">_xlfn.IFS(AND(R$3=$E21, R$3=$D21),"ou",R$3=$E21,"u",R$3=$D21,"o",TRUE,"")</f>
        <v/>
      </c>
      <c r="S21" s="7" t="str" cm="1">
        <f t="array" ref="S21">_xlfn.IFS(AND(S$3=$E21, S$3=$D21),"ou",S$3=$E21,"u",S$3=$D21,"o",TRUE,"")</f>
        <v/>
      </c>
      <c r="T21" s="7" t="str" cm="1">
        <f t="array" ref="T21">_xlfn.IFS(AND(T$3=$E21, T$3=$D21),"ou",T$3=$E21,"u",T$3=$D21,"o",TRUE,"")</f>
        <v/>
      </c>
      <c r="U21" s="7" t="str" cm="1">
        <f t="array" ref="U21">_xlfn.IFS(AND(U$3=$E21, U$3=$D21),"ou",U$3=$E21,"u",U$3=$D21,"o",TRUE,"")</f>
        <v/>
      </c>
      <c r="V21" s="7" t="str" cm="1">
        <f t="array" ref="V21">_xlfn.IFS(AND(V$3=$E21, V$3=$D21),"ou",V$3=$E21,"u",V$3=$D21,"o",TRUE,"")</f>
        <v>o</v>
      </c>
      <c r="W21" s="7" t="str" cm="1">
        <f t="array" ref="W21">_xlfn.IFS(AND(W$3=$E21, W$3=$D21),"ou",W$3=$E21,"u",W$3=$D21,"o",TRUE,"")</f>
        <v>u</v>
      </c>
      <c r="X21" s="7" t="str" cm="1">
        <f t="array" ref="X21">_xlfn.IFS(AND(X$3=$E21, X$3=$D21),"ou",X$3=$E21,"u",X$3=$D21,"o",TRUE,"")</f>
        <v/>
      </c>
      <c r="Y21" s="7" t="str" cm="1">
        <f t="array" ref="Y21">_xlfn.IFS(AND(Y$3=$E21, Y$3=$D21),"ou",Y$3=$E21,"u",Y$3=$D21,"o",TRUE,"")</f>
        <v/>
      </c>
      <c r="Z21" s="7" t="str" cm="1">
        <f t="array" ref="Z21">_xlfn.IFS(AND(Z$3=$E21, Z$3=$D21),"ou",Z$3=$E21,"u",Z$3=$D21,"o",TRUE,"")</f>
        <v/>
      </c>
    </row>
    <row r="22" spans="2:26" x14ac:dyDescent="0.3">
      <c r="B22" s="10">
        <v>4</v>
      </c>
      <c r="C22" s="16" t="s">
        <v>10</v>
      </c>
      <c r="D22" s="12">
        <v>46093</v>
      </c>
      <c r="E22" s="12">
        <v>46101</v>
      </c>
      <c r="F22" s="13">
        <f t="shared" si="0"/>
        <v>7</v>
      </c>
      <c r="G22" s="10">
        <v>3.2</v>
      </c>
      <c r="H22" s="13" t="s">
        <v>40</v>
      </c>
      <c r="I22" s="13" t="s">
        <v>56</v>
      </c>
      <c r="J22" s="14">
        <v>0.67</v>
      </c>
      <c r="K22" s="7" t="str" cm="1">
        <f t="array" ref="K22">_xlfn.IFS(AND(K$3=$E22, K$3=$D22),"ou",K$3=$E22,"u",K$3=$D22,"o",TRUE,"")</f>
        <v/>
      </c>
      <c r="L22" s="7" t="str" cm="1">
        <f t="array" ref="L22">_xlfn.IFS(AND(L$3=$E22, L$3=$D22),"ou",L$3=$E22,"u",L$3=$D22,"o",TRUE,"")</f>
        <v/>
      </c>
      <c r="M22" s="7" t="str" cm="1">
        <f t="array" ref="M22">_xlfn.IFS(AND(M$3=$E22, M$3=$D22),"ou",M$3=$E22,"u",M$3=$D22,"o",TRUE,"")</f>
        <v/>
      </c>
      <c r="N22" s="7" t="str" cm="1">
        <f t="array" ref="N22">_xlfn.IFS(AND(N$3=$E22, N$3=$D22),"ou",N$3=$E22,"u",N$3=$D22,"o",TRUE,"")</f>
        <v/>
      </c>
      <c r="O22" s="7" t="str" cm="1">
        <f t="array" ref="O22">_xlfn.IFS(AND(O$3=$E22, O$3=$D22),"ou",O$3=$E22,"u",O$3=$D22,"o",TRUE,"")</f>
        <v/>
      </c>
      <c r="P22" s="7" t="str" cm="1">
        <f t="array" ref="P22">_xlfn.IFS(AND(P$3=$E22, P$3=$D22),"ou",P$3=$E22,"u",P$3=$D22,"o",TRUE,"")</f>
        <v/>
      </c>
      <c r="Q22" s="7" t="str" cm="1">
        <f t="array" ref="Q22">_xlfn.IFS(AND(Q$3=$E22, Q$3=$D22),"ou",Q$3=$E22,"u",Q$3=$D22,"o",TRUE,"")</f>
        <v>o</v>
      </c>
      <c r="R22" s="7" t="str" cm="1">
        <f t="array" ref="R22">_xlfn.IFS(AND(R$3=$E22, R$3=$D22),"ou",R$3=$E22,"u",R$3=$D22,"o",TRUE,"")</f>
        <v/>
      </c>
      <c r="S22" s="7" t="str" cm="1">
        <f t="array" ref="S22">_xlfn.IFS(AND(S$3=$E22, S$3=$D22),"ou",S$3=$E22,"u",S$3=$D22,"o",TRUE,"")</f>
        <v/>
      </c>
      <c r="T22" s="7" t="str" cm="1">
        <f t="array" ref="T22">_xlfn.IFS(AND(T$3=$E22, T$3=$D22),"ou",T$3=$E22,"u",T$3=$D22,"o",TRUE,"")</f>
        <v/>
      </c>
      <c r="U22" s="7" t="str" cm="1">
        <f t="array" ref="U22">_xlfn.IFS(AND(U$3=$E22, U$3=$D22),"ou",U$3=$E22,"u",U$3=$D22,"o",TRUE,"")</f>
        <v/>
      </c>
      <c r="V22" s="7" t="str" cm="1">
        <f t="array" ref="V22">_xlfn.IFS(AND(V$3=$E22, V$3=$D22),"ou",V$3=$E22,"u",V$3=$D22,"o",TRUE,"")</f>
        <v/>
      </c>
      <c r="W22" s="7" t="str" cm="1">
        <f t="array" ref="W22">_xlfn.IFS(AND(W$3=$E22, W$3=$D22),"ou",W$3=$E22,"u",W$3=$D22,"o",TRUE,"")</f>
        <v>u</v>
      </c>
      <c r="X22" s="7" t="str" cm="1">
        <f t="array" ref="X22">_xlfn.IFS(AND(X$3=$E22, X$3=$D22),"ou",X$3=$E22,"u",X$3=$D22,"o",TRUE,"")</f>
        <v/>
      </c>
      <c r="Y22" s="7" t="str" cm="1">
        <f t="array" ref="Y22">_xlfn.IFS(AND(Y$3=$E22, Y$3=$D22),"ou",Y$3=$E22,"u",Y$3=$D22,"o",TRUE,"")</f>
        <v/>
      </c>
      <c r="Z22" s="7" t="str" cm="1">
        <f t="array" ref="Z22">_xlfn.IFS(AND(Z$3=$E22, Z$3=$D22),"ou",Z$3=$E22,"u",Z$3=$D22,"o",TRUE,"")</f>
        <v/>
      </c>
    </row>
    <row r="23" spans="2:26" ht="28.8" x14ac:dyDescent="0.3">
      <c r="B23" s="10">
        <v>4.0999999999999996</v>
      </c>
      <c r="C23" s="16" t="s">
        <v>31</v>
      </c>
      <c r="D23" s="12">
        <v>46093</v>
      </c>
      <c r="E23" s="12">
        <v>46093</v>
      </c>
      <c r="F23" s="13">
        <f t="shared" si="0"/>
        <v>1</v>
      </c>
      <c r="G23" s="10">
        <v>3.2</v>
      </c>
      <c r="H23" s="16" t="s">
        <v>49</v>
      </c>
      <c r="I23" s="13" t="s">
        <v>58</v>
      </c>
      <c r="J23" s="14">
        <v>1</v>
      </c>
      <c r="K23" s="7" t="str" cm="1">
        <f t="array" ref="K23">_xlfn.IFS(AND(K$3=$E23, K$3=$D23),"ou",K$3=$E23,"u",K$3=$D23,"o",TRUE,"")</f>
        <v/>
      </c>
      <c r="L23" s="7" t="str" cm="1">
        <f t="array" ref="L23">_xlfn.IFS(AND(L$3=$E23, L$3=$D23),"ou",L$3=$E23,"u",L$3=$D23,"o",TRUE,"")</f>
        <v/>
      </c>
      <c r="M23" s="7" t="str" cm="1">
        <f t="array" ref="M23">_xlfn.IFS(AND(M$3=$E23, M$3=$D23),"ou",M$3=$E23,"u",M$3=$D23,"o",TRUE,"")</f>
        <v/>
      </c>
      <c r="N23" s="7" t="str" cm="1">
        <f t="array" ref="N23">_xlfn.IFS(AND(N$3=$E23, N$3=$D23),"ou",N$3=$E23,"u",N$3=$D23,"o",TRUE,"")</f>
        <v/>
      </c>
      <c r="O23" s="7" t="str" cm="1">
        <f t="array" ref="O23">_xlfn.IFS(AND(O$3=$E23, O$3=$D23),"ou",O$3=$E23,"u",O$3=$D23,"o",TRUE,"")</f>
        <v/>
      </c>
      <c r="P23" s="7" t="str" cm="1">
        <f t="array" ref="P23">_xlfn.IFS(AND(P$3=$E23, P$3=$D23),"ou",P$3=$E23,"u",P$3=$D23,"o",TRUE,"")</f>
        <v/>
      </c>
      <c r="Q23" s="7" t="str" cm="1">
        <f t="array" ref="Q23">_xlfn.IFS(AND(Q$3=$E23, Q$3=$D23),"ou",Q$3=$E23,"u",Q$3=$D23,"o",TRUE,"")</f>
        <v>ou</v>
      </c>
      <c r="R23" s="7" t="str" cm="1">
        <f t="array" ref="R23">_xlfn.IFS(AND(R$3=$E23, R$3=$D23),"ou",R$3=$E23,"u",R$3=$D23,"o",TRUE,"")</f>
        <v/>
      </c>
      <c r="S23" s="7" t="str" cm="1">
        <f t="array" ref="S23">_xlfn.IFS(AND(S$3=$E23, S$3=$D23),"ou",S$3=$E23,"u",S$3=$D23,"o",TRUE,"")</f>
        <v/>
      </c>
      <c r="T23" s="7" t="str" cm="1">
        <f t="array" ref="T23">_xlfn.IFS(AND(T$3=$E23, T$3=$D23),"ou",T$3=$E23,"u",T$3=$D23,"o",TRUE,"")</f>
        <v/>
      </c>
      <c r="U23" s="7" t="str" cm="1">
        <f t="array" ref="U23">_xlfn.IFS(AND(U$3=$E23, U$3=$D23),"ou",U$3=$E23,"u",U$3=$D23,"o",TRUE,"")</f>
        <v/>
      </c>
      <c r="V23" s="7" t="str" cm="1">
        <f t="array" ref="V23">_xlfn.IFS(AND(V$3=$E23, V$3=$D23),"ou",V$3=$E23,"u",V$3=$D23,"o",TRUE,"")</f>
        <v/>
      </c>
      <c r="W23" s="7" t="str" cm="1">
        <f t="array" ref="W23">_xlfn.IFS(AND(W$3=$E23, W$3=$D23),"ou",W$3=$E23,"u",W$3=$D23,"o",TRUE,"")</f>
        <v/>
      </c>
      <c r="X23" s="7" t="str" cm="1">
        <f t="array" ref="X23">_xlfn.IFS(AND(X$3=$E23, X$3=$D23),"ou",X$3=$E23,"u",X$3=$D23,"o",TRUE,"")</f>
        <v/>
      </c>
      <c r="Y23" s="7" t="str" cm="1">
        <f t="array" ref="Y23">_xlfn.IFS(AND(Y$3=$E23, Y$3=$D23),"ou",Y$3=$E23,"u",Y$3=$D23,"o",TRUE,"")</f>
        <v/>
      </c>
      <c r="Z23" s="7" t="str" cm="1">
        <f t="array" ref="Z23">_xlfn.IFS(AND(Z$3=$E23, Z$3=$D23),"ou",Z$3=$E23,"u",Z$3=$D23,"o",TRUE,"")</f>
        <v/>
      </c>
    </row>
    <row r="24" spans="2:26" ht="28.8" x14ac:dyDescent="0.3">
      <c r="B24" s="10">
        <v>4.2</v>
      </c>
      <c r="C24" s="16" t="s">
        <v>32</v>
      </c>
      <c r="D24" s="12">
        <v>46094</v>
      </c>
      <c r="E24" s="12">
        <v>46094</v>
      </c>
      <c r="F24" s="13">
        <f t="shared" si="0"/>
        <v>1</v>
      </c>
      <c r="G24" s="10">
        <v>3.4</v>
      </c>
      <c r="H24" s="16" t="s">
        <v>50</v>
      </c>
      <c r="I24" s="13" t="s">
        <v>58</v>
      </c>
      <c r="J24" s="14">
        <v>1</v>
      </c>
      <c r="K24" s="7" t="str" cm="1">
        <f t="array" ref="K24">_xlfn.IFS(AND(K$3=$E24, K$3=$D24),"ou",K$3=$E24,"u",K$3=$D24,"o",TRUE,"")</f>
        <v/>
      </c>
      <c r="L24" s="7" t="str" cm="1">
        <f t="array" ref="L24">_xlfn.IFS(AND(L$3=$E24, L$3=$D24),"ou",L$3=$E24,"u",L$3=$D24,"o",TRUE,"")</f>
        <v/>
      </c>
      <c r="M24" s="7" t="str" cm="1">
        <f t="array" ref="M24">_xlfn.IFS(AND(M$3=$E24, M$3=$D24),"ou",M$3=$E24,"u",M$3=$D24,"o",TRUE,"")</f>
        <v/>
      </c>
      <c r="N24" s="7" t="str" cm="1">
        <f t="array" ref="N24">_xlfn.IFS(AND(N$3=$E24, N$3=$D24),"ou",N$3=$E24,"u",N$3=$D24,"o",TRUE,"")</f>
        <v/>
      </c>
      <c r="O24" s="7" t="str" cm="1">
        <f t="array" ref="O24">_xlfn.IFS(AND(O$3=$E24, O$3=$D24),"ou",O$3=$E24,"u",O$3=$D24,"o",TRUE,"")</f>
        <v/>
      </c>
      <c r="P24" s="7" t="str" cm="1">
        <f t="array" ref="P24">_xlfn.IFS(AND(P$3=$E24, P$3=$D24),"ou",P$3=$E24,"u",P$3=$D24,"o",TRUE,"")</f>
        <v/>
      </c>
      <c r="Q24" s="7" t="str" cm="1">
        <f t="array" ref="Q24">_xlfn.IFS(AND(Q$3=$E24, Q$3=$D24),"ou",Q$3=$E24,"u",Q$3=$D24,"o",TRUE,"")</f>
        <v/>
      </c>
      <c r="R24" s="7" t="str" cm="1">
        <f t="array" ref="R24">_xlfn.IFS(AND(R$3=$E24, R$3=$D24),"ou",R$3=$E24,"u",R$3=$D24,"o",TRUE,"")</f>
        <v>ou</v>
      </c>
      <c r="S24" s="7" t="str" cm="1">
        <f t="array" ref="S24">_xlfn.IFS(AND(S$3=$E24, S$3=$D24),"ou",S$3=$E24,"u",S$3=$D24,"o",TRUE,"")</f>
        <v/>
      </c>
      <c r="T24" s="7" t="str" cm="1">
        <f t="array" ref="T24">_xlfn.IFS(AND(T$3=$E24, T$3=$D24),"ou",T$3=$E24,"u",T$3=$D24,"o",TRUE,"")</f>
        <v/>
      </c>
      <c r="U24" s="7" t="str" cm="1">
        <f t="array" ref="U24">_xlfn.IFS(AND(U$3=$E24, U$3=$D24),"ou",U$3=$E24,"u",U$3=$D24,"o",TRUE,"")</f>
        <v/>
      </c>
      <c r="V24" s="7" t="str" cm="1">
        <f t="array" ref="V24">_xlfn.IFS(AND(V$3=$E24, V$3=$D24),"ou",V$3=$E24,"u",V$3=$D24,"o",TRUE,"")</f>
        <v/>
      </c>
      <c r="W24" s="7" t="str" cm="1">
        <f t="array" ref="W24">_xlfn.IFS(AND(W$3=$E24, W$3=$D24),"ou",W$3=$E24,"u",W$3=$D24,"o",TRUE,"")</f>
        <v/>
      </c>
      <c r="X24" s="7" t="str" cm="1">
        <f t="array" ref="X24">_xlfn.IFS(AND(X$3=$E24, X$3=$D24),"ou",X$3=$E24,"u",X$3=$D24,"o",TRUE,"")</f>
        <v/>
      </c>
      <c r="Y24" s="7" t="str" cm="1">
        <f t="array" ref="Y24">_xlfn.IFS(AND(Y$3=$E24, Y$3=$D24),"ou",Y$3=$E24,"u",Y$3=$D24,"o",TRUE,"")</f>
        <v/>
      </c>
      <c r="Z24" s="7" t="str" cm="1">
        <f t="array" ref="Z24">_xlfn.IFS(AND(Z$3=$E24, Z$3=$D24),"ou",Z$3=$E24,"u",Z$3=$D24,"o",TRUE,"")</f>
        <v/>
      </c>
    </row>
    <row r="25" spans="2:26" ht="28.8" x14ac:dyDescent="0.3">
      <c r="B25" s="10">
        <v>4.3</v>
      </c>
      <c r="C25" s="16" t="s">
        <v>33</v>
      </c>
      <c r="D25" s="12">
        <v>46101</v>
      </c>
      <c r="E25" s="12">
        <v>46101</v>
      </c>
      <c r="F25" s="13">
        <f t="shared" si="0"/>
        <v>1</v>
      </c>
      <c r="G25" s="10">
        <v>3.7</v>
      </c>
      <c r="H25" s="16" t="s">
        <v>62</v>
      </c>
      <c r="I25" s="13" t="s">
        <v>57</v>
      </c>
      <c r="J25" s="14">
        <v>0</v>
      </c>
      <c r="K25" s="7" t="str" cm="1">
        <f t="array" ref="K25">_xlfn.IFS(AND(K$3=$E25, K$3=$D25),"ou",K$3=$E25,"u",K$3=$D25,"o",TRUE,"")</f>
        <v/>
      </c>
      <c r="L25" s="7" t="str" cm="1">
        <f t="array" ref="L25">_xlfn.IFS(AND(L$3=$E25, L$3=$D25),"ou",L$3=$E25,"u",L$3=$D25,"o",TRUE,"")</f>
        <v/>
      </c>
      <c r="M25" s="7" t="str" cm="1">
        <f t="array" ref="M25">_xlfn.IFS(AND(M$3=$E25, M$3=$D25),"ou",M$3=$E25,"u",M$3=$D25,"o",TRUE,"")</f>
        <v/>
      </c>
      <c r="N25" s="7" t="str" cm="1">
        <f t="array" ref="N25">_xlfn.IFS(AND(N$3=$E25, N$3=$D25),"ou",N$3=$E25,"u",N$3=$D25,"o",TRUE,"")</f>
        <v/>
      </c>
      <c r="O25" s="7" t="str" cm="1">
        <f t="array" ref="O25">_xlfn.IFS(AND(O$3=$E25, O$3=$D25),"ou",O$3=$E25,"u",O$3=$D25,"o",TRUE,"")</f>
        <v/>
      </c>
      <c r="P25" s="7" t="str" cm="1">
        <f t="array" ref="P25">_xlfn.IFS(AND(P$3=$E25, P$3=$D25),"ou",P$3=$E25,"u",P$3=$D25,"o",TRUE,"")</f>
        <v/>
      </c>
      <c r="Q25" s="7" t="str" cm="1">
        <f t="array" ref="Q25">_xlfn.IFS(AND(Q$3=$E25, Q$3=$D25),"ou",Q$3=$E25,"u",Q$3=$D25,"o",TRUE,"")</f>
        <v/>
      </c>
      <c r="R25" s="7" t="str" cm="1">
        <f t="array" ref="R25">_xlfn.IFS(AND(R$3=$E25, R$3=$D25),"ou",R$3=$E25,"u",R$3=$D25,"o",TRUE,"")</f>
        <v/>
      </c>
      <c r="S25" s="7" t="str" cm="1">
        <f t="array" ref="S25">_xlfn.IFS(AND(S$3=$E25, S$3=$D25),"ou",S$3=$E25,"u",S$3=$D25,"o",TRUE,"")</f>
        <v/>
      </c>
      <c r="T25" s="7" t="str" cm="1">
        <f t="array" ref="T25">_xlfn.IFS(AND(T$3=$E25, T$3=$D25),"ou",T$3=$E25,"u",T$3=$D25,"o",TRUE,"")</f>
        <v/>
      </c>
      <c r="U25" s="7" t="str" cm="1">
        <f t="array" ref="U25">_xlfn.IFS(AND(U$3=$E25, U$3=$D25),"ou",U$3=$E25,"u",U$3=$D25,"o",TRUE,"")</f>
        <v/>
      </c>
      <c r="V25" s="7" t="str" cm="1">
        <f t="array" ref="V25">_xlfn.IFS(AND(V$3=$E25, V$3=$D25),"ou",V$3=$E25,"u",V$3=$D25,"o",TRUE,"")</f>
        <v/>
      </c>
      <c r="W25" s="7" t="str" cm="1">
        <f t="array" ref="W25">_xlfn.IFS(AND(W$3=$E25, W$3=$D25),"ou",W$3=$E25,"u",W$3=$D25,"o",TRUE,"")</f>
        <v>ou</v>
      </c>
      <c r="X25" s="7" t="str" cm="1">
        <f t="array" ref="X25">_xlfn.IFS(AND(X$3=$E25, X$3=$D25),"ou",X$3=$E25,"u",X$3=$D25,"o",TRUE,"")</f>
        <v/>
      </c>
      <c r="Y25" s="7" t="str" cm="1">
        <f t="array" ref="Y25">_xlfn.IFS(AND(Y$3=$E25, Y$3=$D25),"ou",Y$3=$E25,"u",Y$3=$D25,"o",TRUE,"")</f>
        <v/>
      </c>
      <c r="Z25" s="7" t="str" cm="1">
        <f t="array" ref="Z25">_xlfn.IFS(AND(Z$3=$E25, Z$3=$D25),"ou",Z$3=$E25,"u",Z$3=$D25,"o",TRUE,"")</f>
        <v/>
      </c>
    </row>
    <row r="26" spans="2:26" x14ac:dyDescent="0.3">
      <c r="B26" s="10">
        <v>5</v>
      </c>
      <c r="C26" s="16" t="s">
        <v>12</v>
      </c>
      <c r="D26" s="12">
        <v>46104</v>
      </c>
      <c r="E26" s="12">
        <v>46106</v>
      </c>
      <c r="F26" s="13">
        <f t="shared" si="0"/>
        <v>3</v>
      </c>
      <c r="G26" s="10">
        <v>4</v>
      </c>
      <c r="H26" s="16" t="s">
        <v>40</v>
      </c>
      <c r="I26" s="13" t="s">
        <v>57</v>
      </c>
      <c r="J26" s="14">
        <v>0</v>
      </c>
      <c r="K26" s="7" t="str" cm="1">
        <f t="array" ref="K26">_xlfn.IFS(AND(K$3=$E26, K$3=$D26),"ou",K$3=$E26,"u",K$3=$D26,"o",TRUE,"")</f>
        <v/>
      </c>
      <c r="L26" s="7" t="str" cm="1">
        <f t="array" ref="L26">_xlfn.IFS(AND(L$3=$E26, L$3=$D26),"ou",L$3=$E26,"u",L$3=$D26,"o",TRUE,"")</f>
        <v/>
      </c>
      <c r="M26" s="7" t="str" cm="1">
        <f t="array" ref="M26">_xlfn.IFS(AND(M$3=$E26, M$3=$D26),"ou",M$3=$E26,"u",M$3=$D26,"o",TRUE,"")</f>
        <v/>
      </c>
      <c r="N26" s="7" t="str" cm="1">
        <f t="array" ref="N26">_xlfn.IFS(AND(N$3=$E26, N$3=$D26),"ou",N$3=$E26,"u",N$3=$D26,"o",TRUE,"")</f>
        <v/>
      </c>
      <c r="O26" s="7" t="str" cm="1">
        <f t="array" ref="O26">_xlfn.IFS(AND(O$3=$E26, O$3=$D26),"ou",O$3=$E26,"u",O$3=$D26,"o",TRUE,"")</f>
        <v/>
      </c>
      <c r="P26" s="7" t="str" cm="1">
        <f t="array" ref="P26">_xlfn.IFS(AND(P$3=$E26, P$3=$D26),"ou",P$3=$E26,"u",P$3=$D26,"o",TRUE,"")</f>
        <v/>
      </c>
      <c r="Q26" s="7" t="str" cm="1">
        <f t="array" ref="Q26">_xlfn.IFS(AND(Q$3=$E26, Q$3=$D26),"ou",Q$3=$E26,"u",Q$3=$D26,"o",TRUE,"")</f>
        <v/>
      </c>
      <c r="R26" s="7" t="str" cm="1">
        <f t="array" ref="R26">_xlfn.IFS(AND(R$3=$E26, R$3=$D26),"ou",R$3=$E26,"u",R$3=$D26,"o",TRUE,"")</f>
        <v/>
      </c>
      <c r="S26" s="7" t="str" cm="1">
        <f t="array" ref="S26">_xlfn.IFS(AND(S$3=$E26, S$3=$D26),"ou",S$3=$E26,"u",S$3=$D26,"o",TRUE,"")</f>
        <v/>
      </c>
      <c r="T26" s="7" t="str" cm="1">
        <f t="array" ref="T26">_xlfn.IFS(AND(T$3=$E26, T$3=$D26),"ou",T$3=$E26,"u",T$3=$D26,"o",TRUE,"")</f>
        <v/>
      </c>
      <c r="U26" s="7" t="str" cm="1">
        <f t="array" ref="U26">_xlfn.IFS(AND(U$3=$E26, U$3=$D26),"ou",U$3=$E26,"u",U$3=$D26,"o",TRUE,"")</f>
        <v/>
      </c>
      <c r="V26" s="7" t="str" cm="1">
        <f t="array" ref="V26">_xlfn.IFS(AND(V$3=$E26, V$3=$D26),"ou",V$3=$E26,"u",V$3=$D26,"o",TRUE,"")</f>
        <v/>
      </c>
      <c r="W26" s="7" t="str" cm="1">
        <f t="array" ref="W26">_xlfn.IFS(AND(W$3=$E26, W$3=$D26),"ou",W$3=$E26,"u",W$3=$D26,"o",TRUE,"")</f>
        <v/>
      </c>
      <c r="X26" s="7" t="str" cm="1">
        <f t="array" ref="X26">_xlfn.IFS(AND(X$3=$E26, X$3=$D26),"ou",X$3=$E26,"u",X$3=$D26,"o",TRUE,"")</f>
        <v>o</v>
      </c>
      <c r="Y26" s="7" t="str" cm="1">
        <f t="array" ref="Y26">_xlfn.IFS(AND(Y$3=$E26, Y$3=$D26),"ou",Y$3=$E26,"u",Y$3=$D26,"o",TRUE,"")</f>
        <v/>
      </c>
      <c r="Z26" s="7" t="str" cm="1">
        <f t="array" ref="Z26">_xlfn.IFS(AND(Z$3=$E26, Z$3=$D26),"ou",Z$3=$E26,"u",Z$3=$D26,"o",TRUE,"")</f>
        <v>u</v>
      </c>
    </row>
    <row r="27" spans="2:26" ht="28.8" x14ac:dyDescent="0.3">
      <c r="B27" s="10">
        <v>5.0999999999999996</v>
      </c>
      <c r="C27" s="16" t="s">
        <v>66</v>
      </c>
      <c r="D27" s="12">
        <v>46104</v>
      </c>
      <c r="E27" s="12">
        <v>46105</v>
      </c>
      <c r="F27" s="13">
        <f t="shared" si="0"/>
        <v>2</v>
      </c>
      <c r="G27" s="10">
        <v>4</v>
      </c>
      <c r="H27" s="16" t="s">
        <v>51</v>
      </c>
      <c r="I27" s="13" t="s">
        <v>57</v>
      </c>
      <c r="J27" s="14">
        <v>0</v>
      </c>
      <c r="K27" s="7" t="str" cm="1">
        <f t="array" ref="K27">_xlfn.IFS(AND(K$3=$E27, K$3=$D27),"ou",K$3=$E27,"u",K$3=$D27,"o",TRUE,"")</f>
        <v/>
      </c>
      <c r="L27" s="7" t="str" cm="1">
        <f t="array" ref="L27">_xlfn.IFS(AND(L$3=$E27, L$3=$D27),"ou",L$3=$E27,"u",L$3=$D27,"o",TRUE,"")</f>
        <v/>
      </c>
      <c r="M27" s="7" t="str" cm="1">
        <f t="array" ref="M27">_xlfn.IFS(AND(M$3=$E27, M$3=$D27),"ou",M$3=$E27,"u",M$3=$D27,"o",TRUE,"")</f>
        <v/>
      </c>
      <c r="N27" s="7" t="str" cm="1">
        <f t="array" ref="N27">_xlfn.IFS(AND(N$3=$E27, N$3=$D27),"ou",N$3=$E27,"u",N$3=$D27,"o",TRUE,"")</f>
        <v/>
      </c>
      <c r="O27" s="7" t="str" cm="1">
        <f t="array" ref="O27">_xlfn.IFS(AND(O$3=$E27, O$3=$D27),"ou",O$3=$E27,"u",O$3=$D27,"o",TRUE,"")</f>
        <v/>
      </c>
      <c r="P27" s="7" t="str" cm="1">
        <f t="array" ref="P27">_xlfn.IFS(AND(P$3=$E27, P$3=$D27),"ou",P$3=$E27,"u",P$3=$D27,"o",TRUE,"")</f>
        <v/>
      </c>
      <c r="Q27" s="7" t="str" cm="1">
        <f t="array" ref="Q27">_xlfn.IFS(AND(Q$3=$E27, Q$3=$D27),"ou",Q$3=$E27,"u",Q$3=$D27,"o",TRUE,"")</f>
        <v/>
      </c>
      <c r="R27" s="7" t="str" cm="1">
        <f t="array" ref="R27">_xlfn.IFS(AND(R$3=$E27, R$3=$D27),"ou",R$3=$E27,"u",R$3=$D27,"o",TRUE,"")</f>
        <v/>
      </c>
      <c r="S27" s="7" t="str" cm="1">
        <f t="array" ref="S27">_xlfn.IFS(AND(S$3=$E27, S$3=$D27),"ou",S$3=$E27,"u",S$3=$D27,"o",TRUE,"")</f>
        <v/>
      </c>
      <c r="T27" s="7" t="str" cm="1">
        <f t="array" ref="T27">_xlfn.IFS(AND(T$3=$E27, T$3=$D27),"ou",T$3=$E27,"u",T$3=$D27,"o",TRUE,"")</f>
        <v/>
      </c>
      <c r="U27" s="7" t="str" cm="1">
        <f t="array" ref="U27">_xlfn.IFS(AND(U$3=$E27, U$3=$D27),"ou",U$3=$E27,"u",U$3=$D27,"o",TRUE,"")</f>
        <v/>
      </c>
      <c r="V27" s="7" t="str" cm="1">
        <f t="array" ref="V27">_xlfn.IFS(AND(V$3=$E27, V$3=$D27),"ou",V$3=$E27,"u",V$3=$D27,"o",TRUE,"")</f>
        <v/>
      </c>
      <c r="W27" s="7" t="str" cm="1">
        <f t="array" ref="W27">_xlfn.IFS(AND(W$3=$E27, W$3=$D27),"ou",W$3=$E27,"u",W$3=$D27,"o",TRUE,"")</f>
        <v/>
      </c>
      <c r="X27" s="7" t="str" cm="1">
        <f t="array" ref="X27">_xlfn.IFS(AND(X$3=$E27, X$3=$D27),"ou",X$3=$E27,"u",X$3=$D27,"o",TRUE,"")</f>
        <v>o</v>
      </c>
      <c r="Y27" s="7" t="str" cm="1">
        <f t="array" ref="Y27">_xlfn.IFS(AND(Y$3=$E27, Y$3=$D27),"ou",Y$3=$E27,"u",Y$3=$D27,"o",TRUE,"")</f>
        <v>u</v>
      </c>
      <c r="Z27" s="7" t="str" cm="1">
        <f t="array" ref="Z27">_xlfn.IFS(AND(Z$3=$E27, Z$3=$D27),"ou",Z$3=$E27,"u",Z$3=$D27,"o",TRUE,"")</f>
        <v/>
      </c>
    </row>
    <row r="28" spans="2:26" ht="28.8" x14ac:dyDescent="0.3">
      <c r="B28" s="10">
        <v>5.2</v>
      </c>
      <c r="C28" s="16" t="s">
        <v>52</v>
      </c>
      <c r="D28" s="12">
        <v>46105</v>
      </c>
      <c r="E28" s="12">
        <v>46106</v>
      </c>
      <c r="F28" s="13">
        <f t="shared" si="0"/>
        <v>2</v>
      </c>
      <c r="G28" s="10">
        <v>4</v>
      </c>
      <c r="H28" s="16" t="s">
        <v>53</v>
      </c>
      <c r="I28" s="13" t="s">
        <v>57</v>
      </c>
      <c r="J28" s="14">
        <v>0</v>
      </c>
      <c r="K28" s="7" t="str" cm="1">
        <f t="array" ref="K28">_xlfn.IFS(AND(K$3=$E28, K$3=$D28),"ou",K$3=$E28,"u",K$3=$D28,"o",TRUE,"")</f>
        <v/>
      </c>
      <c r="L28" s="7" t="str" cm="1">
        <f t="array" ref="L28">_xlfn.IFS(AND(L$3=$E28, L$3=$D28),"ou",L$3=$E28,"u",L$3=$D28,"o",TRUE,"")</f>
        <v/>
      </c>
      <c r="M28" s="7" t="str" cm="1">
        <f t="array" ref="M28">_xlfn.IFS(AND(M$3=$E28, M$3=$D28),"ou",M$3=$E28,"u",M$3=$D28,"o",TRUE,"")</f>
        <v/>
      </c>
      <c r="N28" s="7" t="str" cm="1">
        <f t="array" ref="N28">_xlfn.IFS(AND(N$3=$E28, N$3=$D28),"ou",N$3=$E28,"u",N$3=$D28,"o",TRUE,"")</f>
        <v/>
      </c>
      <c r="O28" s="7" t="str" cm="1">
        <f t="array" ref="O28">_xlfn.IFS(AND(O$3=$E28, O$3=$D28),"ou",O$3=$E28,"u",O$3=$D28,"o",TRUE,"")</f>
        <v/>
      </c>
      <c r="P28" s="7" t="str" cm="1">
        <f t="array" ref="P28">_xlfn.IFS(AND(P$3=$E28, P$3=$D28),"ou",P$3=$E28,"u",P$3=$D28,"o",TRUE,"")</f>
        <v/>
      </c>
      <c r="Q28" s="7" t="str" cm="1">
        <f t="array" ref="Q28">_xlfn.IFS(AND(Q$3=$E28, Q$3=$D28),"ou",Q$3=$E28,"u",Q$3=$D28,"o",TRUE,"")</f>
        <v/>
      </c>
      <c r="R28" s="7" t="str" cm="1">
        <f t="array" ref="R28">_xlfn.IFS(AND(R$3=$E28, R$3=$D28),"ou",R$3=$E28,"u",R$3=$D28,"o",TRUE,"")</f>
        <v/>
      </c>
      <c r="S28" s="7" t="str" cm="1">
        <f t="array" ref="S28">_xlfn.IFS(AND(S$3=$E28, S$3=$D28),"ou",S$3=$E28,"u",S$3=$D28,"o",TRUE,"")</f>
        <v/>
      </c>
      <c r="T28" s="7" t="str" cm="1">
        <f t="array" ref="T28">_xlfn.IFS(AND(T$3=$E28, T$3=$D28),"ou",T$3=$E28,"u",T$3=$D28,"o",TRUE,"")</f>
        <v/>
      </c>
      <c r="U28" s="7" t="str" cm="1">
        <f t="array" ref="U28">_xlfn.IFS(AND(U$3=$E28, U$3=$D28),"ou",U$3=$E28,"u",U$3=$D28,"o",TRUE,"")</f>
        <v/>
      </c>
      <c r="V28" s="7" t="str" cm="1">
        <f t="array" ref="V28">_xlfn.IFS(AND(V$3=$E28, V$3=$D28),"ou",V$3=$E28,"u",V$3=$D28,"o",TRUE,"")</f>
        <v/>
      </c>
      <c r="W28" s="7" t="str" cm="1">
        <f t="array" ref="W28">_xlfn.IFS(AND(W$3=$E28, W$3=$D28),"ou",W$3=$E28,"u",W$3=$D28,"o",TRUE,"")</f>
        <v/>
      </c>
      <c r="X28" s="7" t="str" cm="1">
        <f t="array" ref="X28">_xlfn.IFS(AND(X$3=$E28, X$3=$D28),"ou",X$3=$E28,"u",X$3=$D28,"o",TRUE,"")</f>
        <v/>
      </c>
      <c r="Y28" s="7" t="str" cm="1">
        <f t="array" ref="Y28">_xlfn.IFS(AND(Y$3=$E28, Y$3=$D28),"ou",Y$3=$E28,"u",Y$3=$D28,"o",TRUE,"")</f>
        <v>o</v>
      </c>
      <c r="Z28" s="7" t="str" cm="1">
        <f t="array" ref="Z28">_xlfn.IFS(AND(Z$3=$E28, Z$3=$D28),"ou",Z$3=$E28,"u",Z$3=$D28,"o",TRUE,"")</f>
        <v>u</v>
      </c>
    </row>
    <row r="29" spans="2:26" x14ac:dyDescent="0.3">
      <c r="Y29" s="8" t="str">
        <f t="shared" ref="Y29:Z29" si="1">IF((Y$3=$E29),"u","")</f>
        <v/>
      </c>
      <c r="Z29" s="8" t="str">
        <f t="shared" si="1"/>
        <v/>
      </c>
    </row>
    <row r="31" spans="2:26" x14ac:dyDescent="0.3">
      <c r="C31" s="3" t="s">
        <v>54</v>
      </c>
    </row>
    <row r="32" spans="2:26" x14ac:dyDescent="0.3">
      <c r="C32" s="3" t="s">
        <v>55</v>
      </c>
    </row>
    <row r="33" spans="3:3" x14ac:dyDescent="0.3">
      <c r="C33" s="3" t="s">
        <v>56</v>
      </c>
    </row>
    <row r="34" spans="3:3" x14ac:dyDescent="0.3">
      <c r="C34" s="3" t="s">
        <v>57</v>
      </c>
    </row>
    <row r="35" spans="3:3" x14ac:dyDescent="0.3">
      <c r="C35" s="3" t="s">
        <v>58</v>
      </c>
    </row>
  </sheetData>
  <mergeCells count="4">
    <mergeCell ref="K2:M2"/>
    <mergeCell ref="N2:R2"/>
    <mergeCell ref="S2:W2"/>
    <mergeCell ref="X2:Z2"/>
  </mergeCells>
  <conditionalFormatting sqref="I5:I28">
    <cfRule type="containsText" dxfId="5" priority="1" operator="containsText" text="Complete">
      <formula>NOT(ISERROR(SEARCH("Complete",I5)))</formula>
    </cfRule>
    <cfRule type="containsText" dxfId="4" priority="5" operator="containsText" text="Not Started">
      <formula>NOT(ISERROR(SEARCH("Not Started",I5)))</formula>
    </cfRule>
    <cfRule type="containsText" dxfId="3" priority="6" operator="containsText" text="Blocked">
      <formula>NOT(ISERROR(SEARCH("Blocked",I5)))</formula>
    </cfRule>
  </conditionalFormatting>
  <conditionalFormatting sqref="I7">
    <cfRule type="containsText" dxfId="2" priority="3" operator="containsText" text="Complete">
      <formula>NOT(ISERROR(SEARCH("Complete",I7)))</formula>
    </cfRule>
    <cfRule type="containsText" dxfId="1" priority="4" operator="containsText" text="In Progress">
      <formula>NOT(ISERROR(SEARCH("In Progress",I7)))</formula>
    </cfRule>
  </conditionalFormatting>
  <conditionalFormatting sqref="K5:Z28">
    <cfRule type="expression" dxfId="0" priority="2">
      <formula>AND(K$3&gt;=$D5,$E5&gt;=K$3)</formula>
    </cfRule>
  </conditionalFormatting>
  <dataValidations count="1">
    <dataValidation type="list" allowBlank="1" showInputMessage="1" showErrorMessage="1" sqref="I5:I28" xr:uid="{072E08A5-5699-4526-93E9-D01EA18A273D}">
      <formula1>$C$32:$C$35</formula1>
    </dataValidation>
  </dataValidation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2026-03-02T10:57:41Z</dcterms:created>
  <dcterms:modified xsi:type="dcterms:W3CDTF">2026-03-23T09:38:06Z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2026-03-02T10:57:59Z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a2a1dc96-4d3a-4446-9a90-7a005019dd3c</vt:lpwstr>
  </property>
  <property fmtid="{D5CDD505-2E9C-101B-9397-08002B2CF9AE}" pid="8" name="MSIP_Label_3cde893e-0867-4da1-b808-8ec67389fdff_ContentBits">
    <vt:lpwstr>0</vt:lpwstr>
  </property>
  <property fmtid="{D5CDD505-2E9C-101B-9397-08002B2CF9AE}" pid="9" name="MSIP_Label_3cde893e-0867-4da1-b808-8ec67389fdff_Tag">
    <vt:lpwstr>10, 0, 1, 1</vt:lpwstr>
  </property>
</Properties>
</file>